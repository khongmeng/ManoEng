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"/>
    </mc:Choice>
  </mc:AlternateContent>
  <xr:revisionPtr revIDLastSave="0" documentId="13_ncr:1_{DFCFB820-ED4E-4DF8-ACE8-3EC0C6CFB0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ment" sheetId="23" r:id="rId1"/>
    <sheet name="FAR" sheetId="18" r:id="rId2"/>
    <sheet name="FAR-v" sheetId="24" r:id="rId3"/>
    <sheet name="Source" sheetId="19" r:id="rId4"/>
  </sheets>
  <definedNames>
    <definedName name="_xlnm._FilterDatabase" localSheetId="1" hidden="1">FAR!$A$6:$M$11</definedName>
    <definedName name="_xlnm._FilterDatabase" localSheetId="2" hidden="1">'FAR-v'!$A$6:$M$11</definedName>
    <definedName name="_xlnm.Print_Area" localSheetId="1">FAR!$A$1:$AA$22</definedName>
    <definedName name="_xlnm.Print_Area" localSheetId="2">'FAR-v'!$A$1:$V$44</definedName>
    <definedName name="_xlnm.Print_Area" localSheetId="0">Measurement!$B$1:$P$26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4" l="1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G7" i="24"/>
  <c r="F7" i="24"/>
  <c r="M20" i="24"/>
  <c r="L20" i="24"/>
  <c r="K20" i="24"/>
  <c r="J20" i="24"/>
  <c r="I20" i="24"/>
  <c r="M19" i="24"/>
  <c r="L19" i="24"/>
  <c r="K19" i="24"/>
  <c r="J19" i="24"/>
  <c r="I19" i="24"/>
  <c r="M18" i="24"/>
  <c r="L18" i="24"/>
  <c r="K18" i="24"/>
  <c r="J18" i="24"/>
  <c r="I18" i="24"/>
  <c r="M17" i="24"/>
  <c r="L17" i="24"/>
  <c r="K17" i="24"/>
  <c r="J17" i="24"/>
  <c r="I17" i="24"/>
  <c r="M16" i="24"/>
  <c r="L16" i="24"/>
  <c r="K16" i="24"/>
  <c r="J16" i="24"/>
  <c r="I16" i="24"/>
  <c r="M15" i="24"/>
  <c r="L15" i="24"/>
  <c r="K15" i="24"/>
  <c r="J15" i="24"/>
  <c r="I15" i="24"/>
  <c r="M14" i="24"/>
  <c r="L14" i="24"/>
  <c r="K14" i="24"/>
  <c r="J14" i="24"/>
  <c r="I14" i="24"/>
  <c r="M13" i="24"/>
  <c r="L13" i="24"/>
  <c r="K13" i="24"/>
  <c r="J13" i="24"/>
  <c r="I13" i="24"/>
  <c r="M12" i="24"/>
  <c r="L12" i="24"/>
  <c r="K12" i="24"/>
  <c r="J12" i="24"/>
  <c r="I12" i="24"/>
  <c r="M11" i="24"/>
  <c r="L11" i="24"/>
  <c r="K11" i="24"/>
  <c r="J11" i="24"/>
  <c r="I11" i="24"/>
  <c r="M10" i="24"/>
  <c r="L10" i="24"/>
  <c r="K10" i="24"/>
  <c r="J10" i="24"/>
  <c r="I10" i="24"/>
  <c r="M9" i="24"/>
  <c r="L9" i="24"/>
  <c r="K9" i="24"/>
  <c r="J9" i="24"/>
  <c r="I9" i="24"/>
  <c r="M8" i="24"/>
  <c r="L8" i="24"/>
  <c r="K8" i="24"/>
  <c r="J8" i="24"/>
  <c r="I8" i="24"/>
  <c r="M7" i="24"/>
  <c r="L7" i="24"/>
  <c r="K7" i="24"/>
  <c r="J7" i="24"/>
  <c r="M20" i="18"/>
  <c r="L20" i="18"/>
  <c r="K20" i="18"/>
  <c r="J20" i="18"/>
  <c r="I20" i="18"/>
  <c r="M19" i="18"/>
  <c r="L19" i="18"/>
  <c r="K19" i="18"/>
  <c r="J19" i="18"/>
  <c r="I19" i="18"/>
  <c r="M18" i="18"/>
  <c r="L18" i="18"/>
  <c r="K18" i="18"/>
  <c r="J18" i="18"/>
  <c r="I18" i="18"/>
  <c r="M17" i="18"/>
  <c r="L17" i="18"/>
  <c r="K17" i="18"/>
  <c r="J17" i="18"/>
  <c r="I17" i="18"/>
  <c r="M16" i="18"/>
  <c r="L16" i="18"/>
  <c r="K16" i="18"/>
  <c r="J16" i="18"/>
  <c r="I16" i="18"/>
  <c r="M15" i="18"/>
  <c r="L15" i="18"/>
  <c r="K15" i="18"/>
  <c r="J15" i="18"/>
  <c r="I15" i="18"/>
  <c r="M14" i="18"/>
  <c r="L14" i="18"/>
  <c r="K14" i="18"/>
  <c r="J14" i="18"/>
  <c r="I14" i="18"/>
  <c r="M13" i="18"/>
  <c r="L13" i="18"/>
  <c r="K13" i="18"/>
  <c r="J13" i="18"/>
  <c r="I13" i="18"/>
  <c r="M12" i="18"/>
  <c r="L12" i="18"/>
  <c r="K12" i="18"/>
  <c r="J12" i="18"/>
  <c r="I12" i="18"/>
  <c r="M11" i="18"/>
  <c r="L11" i="18"/>
  <c r="K11" i="18"/>
  <c r="J11" i="18"/>
  <c r="I11" i="18"/>
  <c r="M10" i="18"/>
  <c r="L10" i="18"/>
  <c r="K10" i="18"/>
  <c r="J10" i="18"/>
  <c r="I10" i="18"/>
  <c r="M9" i="18"/>
  <c r="L9" i="18"/>
  <c r="K9" i="18"/>
  <c r="J9" i="18"/>
  <c r="I9" i="18"/>
  <c r="M8" i="18"/>
  <c r="L8" i="18"/>
  <c r="K8" i="18"/>
  <c r="M7" i="18"/>
  <c r="L7" i="18"/>
  <c r="K7" i="18"/>
  <c r="J8" i="18"/>
  <c r="I8" i="18"/>
  <c r="J7" i="18"/>
  <c r="I7" i="18"/>
</calcChain>
</file>

<file path=xl/sharedStrings.xml><?xml version="1.0" encoding="utf-8"?>
<sst xmlns="http://schemas.openxmlformats.org/spreadsheetml/2006/main" count="134" uniqueCount="53">
  <si>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</si>
  <si>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</si>
  <si>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</si>
  <si>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</si>
  <si>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</si>
  <si>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</si>
  <si>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</si>
  <si>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</si>
  <si>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</si>
  <si>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</si>
  <si>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</si>
  <si>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</si>
  <si>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</si>
  <si>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</si>
  <si>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</si>
  <si>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</si>
  <si>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</si>
  <si>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</si>
  <si>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FAI</t>
  </si>
  <si>
    <t>Type</t>
  </si>
  <si>
    <t>Nominal</t>
  </si>
  <si>
    <t>High Limit</t>
  </si>
  <si>
    <t>Low Limit</t>
  </si>
  <si>
    <t>Method</t>
  </si>
  <si>
    <t>Sample 1</t>
  </si>
  <si>
    <t>Sample 2</t>
  </si>
  <si>
    <t>Sample 3</t>
  </si>
  <si>
    <t>Sample 4</t>
  </si>
  <si>
    <t>Sample 5</t>
  </si>
  <si>
    <t>Type Source</t>
  </si>
  <si>
    <t>Length</t>
  </si>
  <si>
    <t>Diameter</t>
  </si>
  <si>
    <t>Radius</t>
  </si>
  <si>
    <t>Thinkness</t>
  </si>
  <si>
    <t>Method Source</t>
  </si>
  <si>
    <t>VMM</t>
  </si>
  <si>
    <t>CMM / ULM</t>
  </si>
  <si>
    <t>+ Tolerance</t>
  </si>
  <si>
    <t>- Tolerance</t>
  </si>
  <si>
    <t>PO #</t>
  </si>
  <si>
    <t>2512 Northland Drive, Mendota Heights, MN 55120</t>
  </si>
  <si>
    <t xml:space="preserve">Part Name </t>
  </si>
  <si>
    <t>Part #</t>
  </si>
  <si>
    <t>Unit</t>
  </si>
  <si>
    <t>Unit Source</t>
  </si>
  <si>
    <t>Inch</t>
  </si>
  <si>
    <t>MM</t>
  </si>
  <si>
    <t>N</t>
  </si>
  <si>
    <t>O</t>
  </si>
  <si>
    <t>P</t>
  </si>
  <si>
    <t xml:space="preserve">  </t>
  </si>
  <si>
    <t>Terra Shim #5</t>
  </si>
  <si>
    <t>Part # 3222610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</si>
</sst>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1937A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8" fillId="0" borderId="0" xfId="0" applyNumberFormat="1" applyFont="1">
      <alignment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>
      <alignment vertical="center"/>
    </xf>
    <xf numFmtId="0" fontId="9" fillId="0" borderId="1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49" fontId="9" fillId="0" borderId="0" xfId="0" applyNumberFormat="1" applyFont="1">
      <alignment vertical="center"/>
    </xf>
    <xf numFmtId="0" fontId="10" fillId="2" borderId="2" xfId="0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0" fontId="10" fillId="2" borderId="2" xfId="0" quotePrefix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49" fontId="15" fillId="0" borderId="0" xfId="0" applyNumberFormat="1" applyFo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quotePrefix="1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49" fontId="17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49" fontId="15" fillId="0" borderId="0" xfId="0" applyNumberFormat="1" applyFont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  <xf numFmtId="0" fontId="6" fillId="0" borderId="0" xfId="0" applyFont="1" applyBorder="1">
      <alignment vertical="center"/>
    </xf>
    <xf numFmtId="49" fontId="6" fillId="0" borderId="0" xfId="0" applyNumberFormat="1" applyFont="1" applyBorder="1">
      <alignment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8" fillId="0" borderId="27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0" fontId="1" fillId="0" borderId="12" xfId="0" applyFont="1" applyBorder="1">
      <alignment vertical="center"/>
    </xf>
    <xf numFmtId="49" fontId="1" fillId="0" borderId="22" xfId="0" applyNumberFormat="1" applyFont="1" applyBorder="1">
      <alignment vertical="center"/>
    </xf>
    <xf numFmtId="0" fontId="1" fillId="0" borderId="2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6" fillId="0" borderId="23" xfId="0" applyFont="1" applyBorder="1" applyAlignment="1">
      <alignment horizontal="right" vertical="center"/>
    </xf>
    <xf numFmtId="0" fontId="1" fillId="0" borderId="21" xfId="0" applyFont="1" applyBorder="1">
      <alignment vertical="center"/>
    </xf>
    <xf numFmtId="49" fontId="1" fillId="0" borderId="25" xfId="0" applyNumberFormat="1" applyFont="1" applyBorder="1">
      <alignment vertical="center"/>
    </xf>
    <xf numFmtId="0" fontId="1" fillId="0" borderId="25" xfId="0" applyFont="1" applyBorder="1">
      <alignment vertical="center"/>
    </xf>
    <xf numFmtId="0" fontId="1" fillId="0" borderId="20" xfId="0" applyFont="1" applyBorder="1">
      <alignment vertical="center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1937A"/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19051</xdr:colOff>
      <xdr:row>9</xdr:row>
      <xdr:rowOff>19052</xdr:rowOff>
    </xdr:from>
    <xdr:ext cx="5592765" cy="3790948"/>
    <xdr:pic>
      <xdr:nvPicPr>
        <xdr:cNvPr id="2" name="Picture 1">
          <a:extLst>
            <a:ext uri="{FF2B5EF4-FFF2-40B4-BE49-F238E27FC236}">
              <a16:creationId xmlns:a16="http://schemas.microsoft.com/office/drawing/2014/main" id="{E83D7B33-3A51-4ACB-A609-623319188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2371727"/>
          <a:ext cx="5592765" cy="3790948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2A419A-8E1B-4879-BF1A-E6405F58F781}"/>
            </a:ext>
          </a:extLst>
        </xdr:cNvPr>
        <xdr:cNvSpPr txBox="1"/>
      </xdr:nvSpPr>
      <xdr:spPr>
        <a:xfrm>
          <a:off x="102012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5B3B50-CD17-4A33-BBBE-67E7CD9A18B3}"/>
            </a:ext>
          </a:extLst>
        </xdr:cNvPr>
        <xdr:cNvSpPr txBox="1"/>
      </xdr:nvSpPr>
      <xdr:spPr>
        <a:xfrm>
          <a:off x="102012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4DBC3C-8E45-4775-A76B-E826B3BD3BC5}"/>
            </a:ext>
          </a:extLst>
        </xdr:cNvPr>
        <xdr:cNvSpPr txBox="1"/>
      </xdr:nvSpPr>
      <xdr:spPr>
        <a:xfrm>
          <a:off x="102012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6660DD-4FFC-4FCF-917C-31BE9256858A}"/>
            </a:ext>
          </a:extLst>
        </xdr:cNvPr>
        <xdr:cNvSpPr txBox="1"/>
      </xdr:nvSpPr>
      <xdr:spPr>
        <a:xfrm>
          <a:off x="102012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F4802C-A359-48A5-A508-662038CB7C88}"/>
            </a:ext>
          </a:extLst>
        </xdr:cNvPr>
        <xdr:cNvSpPr txBox="1"/>
      </xdr:nvSpPr>
      <xdr:spPr>
        <a:xfrm>
          <a:off x="102012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3B8A26-7AB0-4193-B4BA-C2000ED1D235}"/>
            </a:ext>
          </a:extLst>
        </xdr:cNvPr>
        <xdr:cNvSpPr txBox="1"/>
      </xdr:nvSpPr>
      <xdr:spPr>
        <a:xfrm>
          <a:off x="2449931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D164BF-B338-47C1-95CD-BEA67DE59140}"/>
            </a:ext>
          </a:extLst>
        </xdr:cNvPr>
        <xdr:cNvSpPr txBox="1"/>
      </xdr:nvSpPr>
      <xdr:spPr>
        <a:xfrm>
          <a:off x="875131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20500D-B381-47A9-BA5C-6A6188F7DE58}"/>
            </a:ext>
          </a:extLst>
        </xdr:cNvPr>
        <xdr:cNvSpPr txBox="1"/>
      </xdr:nvSpPr>
      <xdr:spPr>
        <a:xfrm>
          <a:off x="923557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7CC6B9-F2A2-4AC9-826B-76ECD778F0F8}"/>
            </a:ext>
          </a:extLst>
        </xdr:cNvPr>
        <xdr:cNvSpPr txBox="1"/>
      </xdr:nvSpPr>
      <xdr:spPr>
        <a:xfrm>
          <a:off x="4295107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FEBEF7-406E-48B1-8FAD-63B3E49FDB56}"/>
            </a:ext>
          </a:extLst>
        </xdr:cNvPr>
        <xdr:cNvSpPr txBox="1"/>
      </xdr:nvSpPr>
      <xdr:spPr>
        <a:xfrm>
          <a:off x="4857082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B8BA38-5D8A-4987-A091-EFEF571C10B7}"/>
            </a:ext>
          </a:extLst>
        </xdr:cNvPr>
        <xdr:cNvSpPr txBox="1"/>
      </xdr:nvSpPr>
      <xdr:spPr>
        <a:xfrm>
          <a:off x="4638675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428625</xdr:colOff>
      <xdr:row>9</xdr:row>
      <xdr:rowOff>238125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9B903E-44FF-45B7-817A-44CC6EF10D5E}"/>
            </a:ext>
          </a:extLst>
        </xdr:cNvPr>
        <xdr:cNvSpPr txBox="1"/>
      </xdr:nvSpPr>
      <xdr:spPr>
        <a:xfrm>
          <a:off x="2228850" y="19050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0</xdr:colOff>
      <xdr:row>23</xdr:row>
      <xdr:rowOff>66675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9F24A2-22EE-4AC0-8E08-B88C734ED7D1}"/>
            </a:ext>
          </a:extLst>
        </xdr:cNvPr>
        <xdr:cNvSpPr txBox="1"/>
      </xdr:nvSpPr>
      <xdr:spPr>
        <a:xfrm>
          <a:off x="2400300" y="44481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571500</xdr:colOff>
      <xdr:row>21</xdr:row>
      <xdr:rowOff>200025</xdr:rowOff>
    </xdr:from>
    <xdr:ext cx="279692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AF9145-F0BE-4143-96AF-44752427F767}"/>
            </a:ext>
          </a:extLst>
        </xdr:cNvPr>
        <xdr:cNvSpPr txBox="1"/>
      </xdr:nvSpPr>
      <xdr:spPr>
        <a:xfrm>
          <a:off x="4772025" y="41910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13</xdr:col>
      <xdr:colOff>400050</xdr:colOff>
      <xdr:row>20</xdr:row>
      <xdr:rowOff>38100</xdr:rowOff>
    </xdr:from>
    <xdr:ext cx="1305107" cy="876422"/>
    <xdr:pic>
      <xdr:nvPicPr>
        <xdr:cNvPr id="17" name="Picture 16">
          <a:extLst>
            <a:ext uri="{FF2B5EF4-FFF2-40B4-BE49-F238E27FC236}">
              <a16:creationId xmlns:a16="http://schemas.microsoft.com/office/drawing/2014/main" id="{CF7F77B4-0270-4545-AF2B-61DBDA00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1025" y="3848100"/>
          <a:ext cx="1305107" cy="876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12</xdr:col>
      <xdr:colOff>542924</xdr:colOff>
      <xdr:row>24</xdr:row>
      <xdr:rowOff>47626</xdr:rowOff>
    </xdr:from>
    <xdr:ext cx="1743075" cy="217168"/>
    <xdr:pic>
      <xdr:nvPicPr>
        <xdr:cNvPr id="18" name="Picture 17">
          <a:extLst>
            <a:ext uri="{FF2B5EF4-FFF2-40B4-BE49-F238E27FC236}">
              <a16:creationId xmlns:a16="http://schemas.microsoft.com/office/drawing/2014/main" id="{C56E99AF-423E-49FF-96F2-EF3B3C893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0029" t="-11110" r="9584" b="-15543"/>
        <a:stretch>
          <a:fillRect/>
        </a:stretch>
      </xdr:blipFill>
      <xdr:spPr>
        <a:xfrm>
          <a:off x="7743824" y="4619626"/>
          <a:ext cx="1743075" cy="2171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12</xdr:col>
      <xdr:colOff>171450</xdr:colOff>
      <xdr:row>9</xdr:row>
      <xdr:rowOff>76200</xdr:rowOff>
    </xdr:from>
    <xdr:ext cx="2065694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B21E5B6-E447-4422-937A-7A08F6EB96BF}"/>
            </a:ext>
          </a:extLst>
        </xdr:cNvPr>
        <xdr:cNvSpPr txBox="1"/>
      </xdr:nvSpPr>
      <xdr:spPr>
        <a:xfrm>
          <a:off x="7372350" y="1790700"/>
          <a:ext cx="2065694" cy="264560"/>
        </a:xfrm>
        <a:prstGeom prst="rect">
          <a:avLst/>
        </a:prstGeom>
        <a:noFill/>
        <a:ln>
          <a:solidFill>
            <a:srgbClr val="0698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69860"/>
              </a:solidFill>
            </a:rPr>
            <a:t>Note:</a:t>
          </a:r>
          <a:r>
            <a:rPr lang="en-US" sz="1100" baseline="0">
              <a:solidFill>
                <a:srgbClr val="069860"/>
              </a:solidFill>
            </a:rPr>
            <a:t> No. 1 is customer's sample</a:t>
          </a:r>
          <a:endParaRPr lang="en-US" sz="1100">
            <a:solidFill>
              <a:srgbClr val="069860"/>
            </a:solidFill>
          </a:endParaRPr>
        </a:p>
      </xdr:txBody>
    </xdr:sp>
    <xdr:clientData/>
  </xdr:oneCellAnchor>
  <xdr:oneCellAnchor>
    <xdr:from>
      <xdr:col>12</xdr:col>
      <xdr:colOff>219075</xdr:colOff>
      <xdr:row>23</xdr:row>
      <xdr:rowOff>133350</xdr:rowOff>
    </xdr:from>
    <xdr:ext cx="297838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B9A344-E438-4E02-99E2-51858CAAD290}"/>
            </a:ext>
          </a:extLst>
        </xdr:cNvPr>
        <xdr:cNvSpPr txBox="1"/>
      </xdr:nvSpPr>
      <xdr:spPr>
        <a:xfrm>
          <a:off x="7419975" y="451485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23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39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897D2-7FAB-4981-9C2C-28663F382B64}"/>
            </a:ext>
          </a:extLst>
        </xdr:cNvPr>
        <xdr:cNvSpPr txBox="1"/>
      </xdr:nvSpPr>
      <xdr:spPr>
        <a:xfrm>
          <a:off x="8629650" y="94304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FB1775-C7D2-403F-AFDE-9DEE2128CF16}"/>
            </a:ext>
          </a:extLst>
        </xdr:cNvPr>
        <xdr:cNvSpPr txBox="1"/>
      </xdr:nvSpPr>
      <xdr:spPr>
        <a:xfrm>
          <a:off x="8629650" y="84010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49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E00625-5AA1-4DC6-8D00-785113D51288}"/>
            </a:ext>
          </a:extLst>
        </xdr:cNvPr>
        <xdr:cNvSpPr txBox="1"/>
      </xdr:nvSpPr>
      <xdr:spPr>
        <a:xfrm>
          <a:off x="8629650" y="1101293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FF69007-6D75-4EEE-AEBA-9E16311DD191}"/>
            </a:ext>
          </a:extLst>
        </xdr:cNvPr>
        <xdr:cNvSpPr txBox="1"/>
      </xdr:nvSpPr>
      <xdr:spPr>
        <a:xfrm>
          <a:off x="8629650" y="83907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30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0016BB-B4A9-4EAE-AE16-24DC37D095F4}"/>
            </a:ext>
          </a:extLst>
        </xdr:cNvPr>
        <xdr:cNvSpPr txBox="1"/>
      </xdr:nvSpPr>
      <xdr:spPr>
        <a:xfrm>
          <a:off x="8629650" y="80795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77416F-866F-4B71-9489-F66E03B8A6EE}"/>
            </a:ext>
          </a:extLst>
        </xdr:cNvPr>
        <xdr:cNvSpPr txBox="1"/>
      </xdr:nvSpPr>
      <xdr:spPr>
        <a:xfrm>
          <a:off x="1802231" y="375886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3FD88-D247-4917-9653-BD75E6742088}"/>
            </a:ext>
          </a:extLst>
        </xdr:cNvPr>
        <xdr:cNvSpPr txBox="1"/>
      </xdr:nvSpPr>
      <xdr:spPr>
        <a:xfrm>
          <a:off x="275056" y="565049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66B1DF-FC3C-40D8-BF2E-0304D7060612}"/>
            </a:ext>
          </a:extLst>
        </xdr:cNvPr>
        <xdr:cNvSpPr txBox="1"/>
      </xdr:nvSpPr>
      <xdr:spPr>
        <a:xfrm>
          <a:off x="8629650" y="562025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20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6C146B-50F6-4C2B-9AFF-F8A24D14867C}"/>
            </a:ext>
          </a:extLst>
        </xdr:cNvPr>
        <xdr:cNvSpPr txBox="1"/>
      </xdr:nvSpPr>
      <xdr:spPr>
        <a:xfrm>
          <a:off x="4056982" y="61436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ED48B3-12C6-4E97-AA99-88EF53728923}"/>
            </a:ext>
          </a:extLst>
        </xdr:cNvPr>
        <xdr:cNvSpPr txBox="1"/>
      </xdr:nvSpPr>
      <xdr:spPr>
        <a:xfrm>
          <a:off x="4666582" y="56673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21</xdr:row>
      <xdr:rowOff>171450</xdr:rowOff>
    </xdr:from>
    <xdr:ext cx="18473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1117841-471F-4C92-A89D-D301F551FE80}"/>
            </a:ext>
          </a:extLst>
        </xdr:cNvPr>
        <xdr:cNvSpPr txBox="1"/>
      </xdr:nvSpPr>
      <xdr:spPr>
        <a:xfrm>
          <a:off x="4400550" y="65627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311-3373-4FC8-A169-706E5AD80554}">
  <dimension ref="B1:AA36"/>
  <sheetViews>
    <sheetView tabSelected="1" zoomScaleNormal="100" workbookViewId="0">
      <selection activeCell="V22" sqref="V22"/>
    </sheetView>
  </sheetViews>
  <sheetFormatPr defaultColWidth="9" defaultRowHeight="11.25"/>
  <cols>
    <col min="1" max="1" width="9" style="1"/>
    <col min="2" max="2" width="4.85546875" style="1" customWidth="1"/>
    <col min="3" max="4" width="8.7109375" style="4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96" t="s">
        <v>2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8"/>
    </row>
    <row r="2" spans="2:27" ht="26.45" customHeight="1" thickBot="1">
      <c r="B2" s="85" t="s">
        <v>3</v>
      </c>
      <c r="C2" s="86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  <c r="P2" s="88" t="s">
        <v>52</v>
      </c>
      <c r="Q2" s="9"/>
    </row>
    <row r="3" spans="2:27" ht="24.95" customHeight="1" thickTop="1">
      <c r="B3" s="89" t="s">
        <v>7</v>
      </c>
      <c r="C3" s="90" t="s">
        <v>0</v>
      </c>
      <c r="D3" s="90" t="s">
        <v>1</v>
      </c>
      <c r="E3" s="91" t="s">
        <v>6</v>
      </c>
      <c r="F3" s="92" t="s">
        <v>8</v>
      </c>
      <c r="G3" s="92" t="s">
        <v>9</v>
      </c>
      <c r="H3" s="92" t="s">
        <v>10</v>
      </c>
      <c r="I3" s="92" t="s">
        <v>11</v>
      </c>
      <c r="J3" s="92" t="s">
        <v>12</v>
      </c>
      <c r="K3" s="92" t="s">
        <v>13</v>
      </c>
      <c r="L3" s="92" t="s">
        <v>14</v>
      </c>
      <c r="M3" s="92" t="s">
        <v>15</v>
      </c>
      <c r="N3" s="91" t="s">
        <v>16</v>
      </c>
      <c r="O3" s="92" t="s">
        <v>17</v>
      </c>
      <c r="P3" s="93" t="s">
        <v>47</v>
      </c>
      <c r="Q3" s="11"/>
      <c r="R3" s="10"/>
      <c r="T3" s="7"/>
    </row>
    <row r="4" spans="2:27" ht="20.100000000000001" customHeight="1">
      <c r="B4" s="94">
        <v>1</v>
      </c>
      <c r="C4" s="45">
        <v>0.12540000000000001</v>
      </c>
      <c r="D4" s="45">
        <v>2.4889000000000001</v>
      </c>
      <c r="E4" s="45">
        <v>2.4963000000000002</v>
      </c>
      <c r="F4" s="45">
        <v>0.1308</v>
      </c>
      <c r="G4" s="45">
        <v>4.9768999999999997</v>
      </c>
      <c r="H4" s="45">
        <v>4.9935</v>
      </c>
      <c r="I4" s="45">
        <v>2.4946000000000002</v>
      </c>
      <c r="J4" s="45">
        <v>0.99650000000000005</v>
      </c>
      <c r="K4" s="45">
        <v>0.99650000000000005</v>
      </c>
      <c r="L4" s="45">
        <v>0.99650000000000005</v>
      </c>
      <c r="M4" s="45">
        <v>0.99650000000000005</v>
      </c>
      <c r="N4" s="45">
        <v>0.13120000000000001</v>
      </c>
      <c r="O4" s="45">
        <v>6.25E-2</v>
      </c>
      <c r="P4" s="102">
        <v>0.13020000000000001</v>
      </c>
      <c r="Q4" s="2"/>
      <c r="R4" s="12"/>
    </row>
    <row r="5" spans="2:27" ht="20.100000000000001" customHeight="1">
      <c r="B5" s="94">
        <v>2</v>
      </c>
      <c r="C5" s="46">
        <v>0.1221</v>
      </c>
      <c r="D5" s="46">
        <v>2.4861</v>
      </c>
      <c r="E5" s="46">
        <v>2.496</v>
      </c>
      <c r="F5" s="46">
        <v>0.12479999999999999</v>
      </c>
      <c r="G5" s="46">
        <v>4.9854000000000003</v>
      </c>
      <c r="H5" s="46">
        <v>4.9988000000000001</v>
      </c>
      <c r="I5" s="46">
        <v>2.4921000000000002</v>
      </c>
      <c r="J5" s="46">
        <v>0.99650000000000005</v>
      </c>
      <c r="K5" s="46">
        <v>0.99650000000000005</v>
      </c>
      <c r="L5" s="46">
        <v>0.99650000000000005</v>
      </c>
      <c r="M5" s="46">
        <v>0.99650000000000005</v>
      </c>
      <c r="N5" s="46">
        <v>0.1313</v>
      </c>
      <c r="O5" s="46">
        <v>6.1800000000000001E-2</v>
      </c>
      <c r="P5" s="103">
        <v>0.1295</v>
      </c>
      <c r="Q5" s="13"/>
      <c r="R5" s="14"/>
    </row>
    <row r="6" spans="2:27" ht="20.100000000000001" customHeight="1">
      <c r="B6" s="94">
        <v>3</v>
      </c>
      <c r="C6" s="45">
        <v>0.1236</v>
      </c>
      <c r="D6" s="45">
        <v>2.4988999999999999</v>
      </c>
      <c r="E6" s="45">
        <v>2.4973000000000001</v>
      </c>
      <c r="F6" s="45">
        <v>0.12920000000000001</v>
      </c>
      <c r="G6" s="45">
        <v>4.9912999999999998</v>
      </c>
      <c r="H6" s="45">
        <v>4.9901</v>
      </c>
      <c r="I6" s="45">
        <v>2.5049000000000001</v>
      </c>
      <c r="J6" s="45">
        <v>0.99650000000000005</v>
      </c>
      <c r="K6" s="45">
        <v>0.99650000000000005</v>
      </c>
      <c r="L6" s="45">
        <v>0.99650000000000005</v>
      </c>
      <c r="M6" s="45">
        <v>0.99650000000000005</v>
      </c>
      <c r="N6" s="45">
        <v>0.12970000000000001</v>
      </c>
      <c r="O6" s="45">
        <v>6.4500000000000002E-2</v>
      </c>
      <c r="P6" s="102">
        <v>0.13420000000000001</v>
      </c>
      <c r="Q6" s="13"/>
      <c r="R6" s="14"/>
    </row>
    <row r="7" spans="2:27" ht="20.100000000000001" customHeight="1">
      <c r="B7" s="94">
        <v>4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103"/>
      <c r="Q7" s="13"/>
      <c r="R7" s="14"/>
    </row>
    <row r="8" spans="2:27" ht="20.100000000000001" customHeight="1" thickBot="1">
      <c r="B8" s="95">
        <v>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5"/>
      <c r="Q8" s="6"/>
      <c r="R8" s="15"/>
    </row>
    <row r="9" spans="2:27" ht="6.75" customHeight="1" thickTop="1"/>
    <row r="10" spans="2:27" ht="20.100000000000001" customHeight="1">
      <c r="B10" s="106"/>
      <c r="C10" s="107"/>
      <c r="D10" s="107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9"/>
      <c r="Q10" s="3"/>
    </row>
    <row r="11" spans="2:27" ht="20.100000000000001" customHeight="1">
      <c r="B11" s="110"/>
      <c r="C11" s="99"/>
      <c r="D11" s="99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111"/>
      <c r="Q11" s="3"/>
      <c r="T11" s="1" t="s">
        <v>5</v>
      </c>
    </row>
    <row r="12" spans="2:27" ht="20.100000000000001" customHeight="1">
      <c r="B12" s="110"/>
      <c r="C12" s="99"/>
      <c r="D12" s="99"/>
      <c r="E12" s="98"/>
      <c r="F12" s="98"/>
      <c r="G12" s="98"/>
      <c r="H12" s="98"/>
      <c r="I12" s="98"/>
      <c r="J12" s="98"/>
      <c r="K12" s="98"/>
      <c r="L12" s="98"/>
      <c r="M12" s="100"/>
      <c r="N12" s="98"/>
      <c r="O12" s="98"/>
      <c r="P12" s="111"/>
      <c r="Q12" s="3"/>
    </row>
    <row r="13" spans="2:27" ht="20.100000000000001" customHeight="1">
      <c r="B13" s="110"/>
      <c r="C13" s="99"/>
      <c r="D13" s="99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11"/>
      <c r="Q13" s="3"/>
    </row>
    <row r="14" spans="2:27" ht="20.100000000000001" customHeight="1">
      <c r="B14" s="110"/>
      <c r="C14" s="99"/>
      <c r="D14" s="99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111"/>
      <c r="Q14" s="3"/>
    </row>
    <row r="15" spans="2:27" ht="20.100000000000001" customHeight="1">
      <c r="B15" s="110"/>
      <c r="C15" s="99"/>
      <c r="D15" s="99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111"/>
      <c r="Q15" s="3"/>
    </row>
    <row r="16" spans="2:27" ht="20.100000000000001" customHeight="1">
      <c r="B16" s="110"/>
      <c r="C16" s="99"/>
      <c r="D16" s="99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111"/>
      <c r="Q16" s="3"/>
      <c r="AA16" s="1" t="s">
        <v>50</v>
      </c>
    </row>
    <row r="17" spans="2:23" ht="20.100000000000001" customHeight="1">
      <c r="B17" s="110"/>
      <c r="C17" s="99"/>
      <c r="D17" s="99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111"/>
      <c r="Q17" s="3"/>
    </row>
    <row r="18" spans="2:23" ht="20.100000000000001" customHeight="1">
      <c r="B18" s="110"/>
      <c r="C18" s="99"/>
      <c r="D18" s="99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111"/>
      <c r="Q18" s="3"/>
      <c r="W18" s="1" t="s">
        <v>4</v>
      </c>
    </row>
    <row r="19" spans="2:23" ht="20.100000000000001" customHeight="1">
      <c r="B19" s="110"/>
      <c r="C19" s="99"/>
      <c r="D19" s="99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111"/>
      <c r="Q19" s="3"/>
    </row>
    <row r="20" spans="2:23" ht="20.100000000000001" customHeight="1">
      <c r="B20" s="110"/>
      <c r="C20" s="99"/>
      <c r="D20" s="99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111"/>
      <c r="Q20" s="3"/>
    </row>
    <row r="21" spans="2:23" ht="20.100000000000001" customHeight="1">
      <c r="B21" s="110"/>
      <c r="C21" s="99"/>
      <c r="D21" s="99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111"/>
      <c r="Q21" s="3"/>
    </row>
    <row r="22" spans="2:23" ht="20.100000000000001" customHeight="1">
      <c r="B22" s="112"/>
      <c r="C22" s="101"/>
      <c r="D22" s="99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111"/>
      <c r="Q22" s="3"/>
    </row>
    <row r="23" spans="2:23" ht="20.100000000000001" customHeight="1">
      <c r="B23" s="110"/>
      <c r="C23" s="99"/>
      <c r="D23" s="99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111"/>
      <c r="Q23" s="3"/>
    </row>
    <row r="24" spans="2:23">
      <c r="B24" s="110"/>
      <c r="C24" s="99"/>
      <c r="D24" s="99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111"/>
      <c r="Q24" s="3"/>
    </row>
    <row r="25" spans="2:23">
      <c r="B25" s="110"/>
      <c r="C25" s="99"/>
      <c r="D25" s="99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111"/>
      <c r="Q25" s="3"/>
    </row>
    <row r="26" spans="2:23">
      <c r="B26" s="113"/>
      <c r="C26" s="114"/>
      <c r="D26" s="114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6"/>
      <c r="Q26" s="3"/>
    </row>
    <row r="27" spans="2:23">
      <c r="B27" s="3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3">
      <c r="B28" s="3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23">
      <c r="B29" s="3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23">
      <c r="B30" s="3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23">
      <c r="B31" s="3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23">
      <c r="B32" s="3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2:17">
      <c r="B33" s="3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2:17">
      <c r="B34" s="3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>
      <c r="B35" s="3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2:17">
      <c r="B36" s="3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</sheetData>
  <mergeCells count="1">
    <mergeCell ref="B1:P1"/>
  </mergeCells>
  <phoneticPr fontId="13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AA39"/>
  <sheetViews>
    <sheetView zoomScaleNormal="100" workbookViewId="0">
      <selection activeCell="E23" sqref="E23"/>
    </sheetView>
  </sheetViews>
  <sheetFormatPr defaultColWidth="9" defaultRowHeight="12"/>
  <cols>
    <col min="1" max="1" width="4.85546875" style="16" customWidth="1"/>
    <col min="2" max="2" width="11.7109375" style="25" customWidth="1"/>
    <col min="3" max="3" width="9.7109375" style="25" customWidth="1"/>
    <col min="4" max="5" width="11.7109375" style="16" customWidth="1"/>
    <col min="6" max="7" width="9.7109375" style="16" customWidth="1"/>
    <col min="8" max="8" width="11.7109375" style="16" customWidth="1"/>
    <col min="9" max="13" width="9.7109375" style="16" customWidth="1"/>
    <col min="14" max="16384" width="9" style="16"/>
  </cols>
  <sheetData>
    <row r="1" spans="1:27" ht="42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21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8"/>
    </row>
    <row r="2" spans="1:27" ht="26.45" customHeight="1">
      <c r="A2" s="35" t="s">
        <v>3</v>
      </c>
      <c r="B2" s="17"/>
      <c r="C2" s="17"/>
      <c r="D2" s="18"/>
      <c r="E2" s="18"/>
      <c r="F2" s="18"/>
      <c r="G2" s="18"/>
      <c r="H2" s="18"/>
      <c r="I2" s="31" t="s">
        <v>43</v>
      </c>
      <c r="J2" s="30"/>
      <c r="K2" s="28" t="s">
        <v>41</v>
      </c>
      <c r="L2" s="31"/>
      <c r="M2" s="32"/>
      <c r="N2" s="49"/>
      <c r="AA2" s="50"/>
    </row>
    <row r="3" spans="1:27" ht="26.45" customHeight="1">
      <c r="A3" s="34" t="s">
        <v>40</v>
      </c>
      <c r="B3" s="17"/>
      <c r="C3" s="17"/>
      <c r="D3" s="18"/>
      <c r="E3" s="18"/>
      <c r="F3" s="18"/>
      <c r="G3" s="18"/>
      <c r="H3" s="18"/>
      <c r="I3" s="18"/>
      <c r="J3" s="18"/>
      <c r="K3" s="29" t="s">
        <v>42</v>
      </c>
      <c r="L3" s="31"/>
      <c r="M3" s="33"/>
      <c r="N3" s="49"/>
      <c r="AA3" s="50"/>
    </row>
    <row r="4" spans="1:27" ht="26.45" customHeight="1">
      <c r="B4" s="18"/>
      <c r="C4" s="36"/>
      <c r="D4" s="36"/>
      <c r="E4" s="18"/>
      <c r="F4" s="18"/>
      <c r="G4" s="18"/>
      <c r="H4" s="18"/>
      <c r="I4" s="18"/>
      <c r="J4" s="18"/>
      <c r="K4" s="30" t="s">
        <v>39</v>
      </c>
      <c r="L4" s="31"/>
      <c r="M4" s="33"/>
      <c r="N4" s="49"/>
      <c r="AA4" s="50"/>
    </row>
    <row r="5" spans="1:27" ht="26.45" customHeight="1">
      <c r="A5" s="19"/>
      <c r="B5" s="17"/>
      <c r="C5" s="17"/>
      <c r="D5" s="18"/>
      <c r="E5" s="18"/>
      <c r="F5" s="18"/>
      <c r="G5" s="18"/>
      <c r="H5" s="18"/>
      <c r="I5" s="18"/>
      <c r="J5" s="18"/>
      <c r="K5" s="18"/>
      <c r="N5" s="49"/>
      <c r="AA5" s="50"/>
    </row>
    <row r="6" spans="1:27" ht="24.95" customHeight="1">
      <c r="A6" s="37" t="s">
        <v>18</v>
      </c>
      <c r="B6" s="38" t="s">
        <v>19</v>
      </c>
      <c r="C6" s="38" t="s">
        <v>20</v>
      </c>
      <c r="D6" s="39" t="s">
        <v>37</v>
      </c>
      <c r="E6" s="39" t="s">
        <v>38</v>
      </c>
      <c r="F6" s="40" t="s">
        <v>21</v>
      </c>
      <c r="G6" s="40" t="s">
        <v>22</v>
      </c>
      <c r="H6" s="40" t="s">
        <v>23</v>
      </c>
      <c r="I6" s="40" t="s">
        <v>24</v>
      </c>
      <c r="J6" s="40" t="s">
        <v>25</v>
      </c>
      <c r="K6" s="40" t="s">
        <v>26</v>
      </c>
      <c r="L6" s="40" t="s">
        <v>27</v>
      </c>
      <c r="M6" s="37" t="s">
        <v>28</v>
      </c>
      <c r="N6" s="51"/>
      <c r="AA6" s="50"/>
    </row>
    <row r="7" spans="1:27" ht="20.100000000000001" customHeight="1">
      <c r="A7" s="41" t="s">
        <v>0</v>
      </c>
      <c r="B7" s="20"/>
      <c r="C7" s="45"/>
      <c r="D7" s="44"/>
      <c r="E7" s="42"/>
      <c r="F7" s="42">
        <v>0.14000000000000001</v>
      </c>
      <c r="G7" s="42">
        <v>0.12</v>
      </c>
      <c r="H7" s="22"/>
      <c r="I7" s="42">
        <f>Measurement!C4</f>
        <v>0.12540000000000001</v>
      </c>
      <c r="J7" s="42">
        <f>Measurement!C5</f>
        <v>0.1221</v>
      </c>
      <c r="K7" s="42">
        <f>Measurement!C6</f>
        <v>0.1236</v>
      </c>
      <c r="L7" s="42">
        <f>Measurement!C7</f>
        <v>0</v>
      </c>
      <c r="M7" s="43">
        <f>Measurement!C8</f>
        <v>0</v>
      </c>
      <c r="N7" s="49"/>
      <c r="AA7" s="50"/>
    </row>
    <row r="8" spans="1:27" ht="20.100000000000001" customHeight="1">
      <c r="A8" s="41" t="s">
        <v>1</v>
      </c>
      <c r="B8" s="20"/>
      <c r="C8" s="46"/>
      <c r="D8" s="44"/>
      <c r="E8" s="44"/>
      <c r="F8" s="42"/>
      <c r="G8" s="42"/>
      <c r="H8" s="22"/>
      <c r="I8" s="42">
        <f>Measurement!D4</f>
        <v>2.4889000000000001</v>
      </c>
      <c r="J8" s="42">
        <f>Measurement!D5</f>
        <v>2.4861</v>
      </c>
      <c r="K8" s="42">
        <f>Measurement!D6</f>
        <v>2.4988999999999999</v>
      </c>
      <c r="L8" s="42">
        <f>Measurement!D7</f>
        <v>0</v>
      </c>
      <c r="M8" s="43">
        <f>Measurement!D8</f>
        <v>0</v>
      </c>
      <c r="N8" s="49"/>
      <c r="AA8" s="50"/>
    </row>
    <row r="9" spans="1:27" ht="20.100000000000001" customHeight="1">
      <c r="A9" s="41" t="s">
        <v>6</v>
      </c>
      <c r="B9" s="20"/>
      <c r="C9" s="46"/>
      <c r="D9" s="44"/>
      <c r="E9" s="44"/>
      <c r="F9" s="42"/>
      <c r="G9" s="42"/>
      <c r="H9" s="22"/>
      <c r="I9" s="42">
        <f>Measurement!E4</f>
        <v>2.4963000000000002</v>
      </c>
      <c r="J9" s="42">
        <f>Measurement!E5</f>
        <v>2.496</v>
      </c>
      <c r="K9" s="42">
        <f>Measurement!E6</f>
        <v>2.4973000000000001</v>
      </c>
      <c r="L9" s="42">
        <f>Measurement!E7</f>
        <v>0</v>
      </c>
      <c r="M9" s="43">
        <f>Measurement!E8</f>
        <v>0</v>
      </c>
      <c r="N9" s="49"/>
      <c r="AA9" s="50"/>
    </row>
    <row r="10" spans="1:27" ht="20.100000000000001" customHeight="1">
      <c r="A10" s="41" t="s">
        <v>8</v>
      </c>
      <c r="B10" s="20"/>
      <c r="C10" s="46"/>
      <c r="D10" s="44"/>
      <c r="E10" s="44"/>
      <c r="F10" s="42"/>
      <c r="G10" s="42"/>
      <c r="H10" s="22"/>
      <c r="I10" s="42">
        <f>Measurement!F4</f>
        <v>0.1308</v>
      </c>
      <c r="J10" s="42">
        <f>Measurement!F5</f>
        <v>0.12479999999999999</v>
      </c>
      <c r="K10" s="42">
        <f>Measurement!F6</f>
        <v>0.12920000000000001</v>
      </c>
      <c r="L10" s="42">
        <f>Measurement!F7</f>
        <v>0</v>
      </c>
      <c r="M10" s="43">
        <f>Measurement!F8</f>
        <v>0</v>
      </c>
      <c r="N10" s="49"/>
      <c r="AA10" s="50"/>
    </row>
    <row r="11" spans="1:27" ht="20.100000000000001" customHeight="1">
      <c r="A11" s="41" t="s">
        <v>9</v>
      </c>
      <c r="B11" s="20"/>
      <c r="C11" s="43"/>
      <c r="D11" s="43"/>
      <c r="E11" s="43"/>
      <c r="F11" s="42"/>
      <c r="G11" s="42"/>
      <c r="H11" s="22"/>
      <c r="I11" s="42">
        <f>Measurement!G4</f>
        <v>4.9768999999999997</v>
      </c>
      <c r="J11" s="42">
        <f>Measurement!G5</f>
        <v>4.9854000000000003</v>
      </c>
      <c r="K11" s="42">
        <f>Measurement!G6</f>
        <v>4.9912999999999998</v>
      </c>
      <c r="L11" s="42">
        <f>Measurement!G7</f>
        <v>0</v>
      </c>
      <c r="M11" s="43">
        <f>Measurement!G8</f>
        <v>0</v>
      </c>
      <c r="N11" s="49"/>
      <c r="AA11" s="50"/>
    </row>
    <row r="12" spans="1:27" ht="20.100000000000001" customHeight="1">
      <c r="A12" s="41" t="s">
        <v>10</v>
      </c>
      <c r="B12" s="20"/>
      <c r="C12" s="45"/>
      <c r="D12" s="44"/>
      <c r="E12" s="42"/>
      <c r="F12" s="42"/>
      <c r="G12" s="42"/>
      <c r="H12" s="22"/>
      <c r="I12" s="42">
        <f>Measurement!H4</f>
        <v>4.9935</v>
      </c>
      <c r="J12" s="42">
        <f>Measurement!H5</f>
        <v>4.9988000000000001</v>
      </c>
      <c r="K12" s="42">
        <f>Measurement!H6</f>
        <v>4.9901</v>
      </c>
      <c r="L12" s="42">
        <f>Measurement!H7</f>
        <v>0</v>
      </c>
      <c r="M12" s="43">
        <f>Measurement!H8</f>
        <v>0</v>
      </c>
      <c r="N12" s="49"/>
      <c r="AA12" s="50"/>
    </row>
    <row r="13" spans="1:27" ht="20.100000000000001" customHeight="1">
      <c r="A13" s="41" t="s">
        <v>11</v>
      </c>
      <c r="B13" s="20"/>
      <c r="C13" s="46"/>
      <c r="D13" s="44"/>
      <c r="E13" s="44"/>
      <c r="F13" s="42"/>
      <c r="G13" s="42"/>
      <c r="H13" s="22"/>
      <c r="I13" s="42">
        <f>Measurement!I4</f>
        <v>2.4946000000000002</v>
      </c>
      <c r="J13" s="42">
        <f>Measurement!I5</f>
        <v>2.4921000000000002</v>
      </c>
      <c r="K13" s="42">
        <f>Measurement!I6</f>
        <v>2.5049000000000001</v>
      </c>
      <c r="L13" s="42">
        <f>Measurement!I7</f>
        <v>0</v>
      </c>
      <c r="M13" s="43">
        <f>Measurement!I8</f>
        <v>0</v>
      </c>
      <c r="N13" s="49"/>
      <c r="AA13" s="50"/>
    </row>
    <row r="14" spans="1:27" ht="20.100000000000001" customHeight="1">
      <c r="A14" s="41" t="s">
        <v>12</v>
      </c>
      <c r="B14" s="20"/>
      <c r="C14" s="46"/>
      <c r="D14" s="44"/>
      <c r="E14" s="44"/>
      <c r="F14" s="42"/>
      <c r="G14" s="42"/>
      <c r="H14" s="22"/>
      <c r="I14" s="42">
        <f>Measurement!J4</f>
        <v>0.99650000000000005</v>
      </c>
      <c r="J14" s="42">
        <f>Measurement!J5</f>
        <v>0.99650000000000005</v>
      </c>
      <c r="K14" s="42">
        <f>Measurement!J6</f>
        <v>0.99650000000000005</v>
      </c>
      <c r="L14" s="42">
        <f>Measurement!J7</f>
        <v>0</v>
      </c>
      <c r="M14" s="43">
        <f>Measurement!J8</f>
        <v>0</v>
      </c>
      <c r="N14" s="49" t="s">
        <v>5</v>
      </c>
      <c r="AA14" s="50"/>
    </row>
    <row r="15" spans="1:27" ht="20.100000000000001" customHeight="1">
      <c r="A15" s="41" t="s">
        <v>13</v>
      </c>
      <c r="B15" s="20"/>
      <c r="C15" s="46"/>
      <c r="D15" s="44"/>
      <c r="E15" s="44"/>
      <c r="F15" s="42"/>
      <c r="G15" s="42"/>
      <c r="H15" s="22"/>
      <c r="I15" s="42">
        <f>Measurement!K4</f>
        <v>0.99650000000000005</v>
      </c>
      <c r="J15" s="42">
        <f>Measurement!K5</f>
        <v>0.99650000000000005</v>
      </c>
      <c r="K15" s="42">
        <f>Measurement!K6</f>
        <v>0.99650000000000005</v>
      </c>
      <c r="L15" s="42">
        <f>Measurement!K7</f>
        <v>0</v>
      </c>
      <c r="M15" s="43">
        <f>Measurement!K8</f>
        <v>0</v>
      </c>
      <c r="N15" s="49"/>
      <c r="AA15" s="50"/>
    </row>
    <row r="16" spans="1:27" ht="20.100000000000001" customHeight="1">
      <c r="A16" s="41" t="s">
        <v>14</v>
      </c>
      <c r="B16" s="20"/>
      <c r="C16" s="43"/>
      <c r="D16" s="43"/>
      <c r="E16" s="43"/>
      <c r="F16" s="42"/>
      <c r="G16" s="42"/>
      <c r="H16" s="22"/>
      <c r="I16" s="42">
        <f>Measurement!L4</f>
        <v>0.99650000000000005</v>
      </c>
      <c r="J16" s="42">
        <f>Measurement!L5</f>
        <v>0.99650000000000005</v>
      </c>
      <c r="K16" s="42">
        <f>Measurement!L6</f>
        <v>0.99650000000000005</v>
      </c>
      <c r="L16" s="42">
        <f>Measurement!L7</f>
        <v>0</v>
      </c>
      <c r="M16" s="43">
        <f>Measurement!L8</f>
        <v>0</v>
      </c>
      <c r="N16" s="49"/>
      <c r="AA16" s="50"/>
    </row>
    <row r="17" spans="1:27" ht="20.100000000000001" customHeight="1">
      <c r="A17" s="41" t="s">
        <v>15</v>
      </c>
      <c r="B17" s="20"/>
      <c r="C17" s="45"/>
      <c r="D17" s="44"/>
      <c r="E17" s="42"/>
      <c r="F17" s="42"/>
      <c r="G17" s="42"/>
      <c r="H17" s="22"/>
      <c r="I17" s="42">
        <f>Measurement!M4</f>
        <v>0.99650000000000005</v>
      </c>
      <c r="J17" s="42">
        <f>Measurement!M5</f>
        <v>0.99650000000000005</v>
      </c>
      <c r="K17" s="42">
        <f>Measurement!M6</f>
        <v>0.99650000000000005</v>
      </c>
      <c r="L17" s="42">
        <f>Measurement!M7</f>
        <v>0</v>
      </c>
      <c r="M17" s="43">
        <f>Measurement!M8</f>
        <v>0</v>
      </c>
      <c r="N17" s="49"/>
      <c r="AA17" s="50"/>
    </row>
    <row r="18" spans="1:27" ht="20.100000000000001" customHeight="1">
      <c r="A18" s="41" t="s">
        <v>16</v>
      </c>
      <c r="B18" s="20"/>
      <c r="C18" s="46"/>
      <c r="D18" s="44"/>
      <c r="E18" s="44"/>
      <c r="F18" s="42"/>
      <c r="G18" s="42"/>
      <c r="H18" s="22"/>
      <c r="I18" s="42">
        <f>Measurement!N4</f>
        <v>0.13120000000000001</v>
      </c>
      <c r="J18" s="42">
        <f>Measurement!N5</f>
        <v>0.1313</v>
      </c>
      <c r="K18" s="42">
        <f>Measurement!N6</f>
        <v>0.12970000000000001</v>
      </c>
      <c r="L18" s="42">
        <f>Measurement!N7</f>
        <v>0</v>
      </c>
      <c r="M18" s="43">
        <f>Measurement!N8</f>
        <v>0</v>
      </c>
      <c r="N18" s="49"/>
      <c r="AA18" s="50"/>
    </row>
    <row r="19" spans="1:27" ht="20.100000000000001" customHeight="1">
      <c r="A19" s="41" t="s">
        <v>17</v>
      </c>
      <c r="B19" s="20"/>
      <c r="C19" s="46"/>
      <c r="D19" s="44"/>
      <c r="E19" s="44"/>
      <c r="F19" s="42"/>
      <c r="G19" s="42"/>
      <c r="H19" s="22"/>
      <c r="I19" s="42">
        <f>Measurement!O4</f>
        <v>6.25E-2</v>
      </c>
      <c r="J19" s="42">
        <f>Measurement!O5</f>
        <v>6.1800000000000001E-2</v>
      </c>
      <c r="K19" s="42">
        <f>Measurement!O6</f>
        <v>6.4500000000000002E-2</v>
      </c>
      <c r="L19" s="42">
        <f>Measurement!O7</f>
        <v>0</v>
      </c>
      <c r="M19" s="43">
        <f>Measurement!O8</f>
        <v>0</v>
      </c>
      <c r="N19" s="49"/>
      <c r="AA19" s="50"/>
    </row>
    <row r="20" spans="1:27" ht="20.100000000000001" customHeight="1">
      <c r="A20" s="41" t="s">
        <v>47</v>
      </c>
      <c r="B20" s="20"/>
      <c r="C20" s="46"/>
      <c r="D20" s="44"/>
      <c r="E20" s="44"/>
      <c r="F20" s="42"/>
      <c r="G20" s="42"/>
      <c r="H20" s="22"/>
      <c r="I20" s="42">
        <f>Measurement!P4</f>
        <v>0.13020000000000001</v>
      </c>
      <c r="J20" s="42">
        <f>Measurement!P5</f>
        <v>0.1295</v>
      </c>
      <c r="K20" s="42">
        <f>Measurement!P6</f>
        <v>0.13420000000000001</v>
      </c>
      <c r="L20" s="42">
        <f>Measurement!P7</f>
        <v>0</v>
      </c>
      <c r="M20" s="43">
        <f>Measurement!P8</f>
        <v>0</v>
      </c>
      <c r="N20" s="49"/>
      <c r="AA20" s="50"/>
    </row>
    <row r="21" spans="1:27" ht="20.100000000000001" customHeight="1">
      <c r="A21" s="41" t="s">
        <v>48</v>
      </c>
      <c r="B21" s="20"/>
      <c r="C21" s="43"/>
      <c r="D21" s="43"/>
      <c r="E21" s="43"/>
      <c r="F21" s="42"/>
      <c r="G21" s="42"/>
      <c r="H21" s="22"/>
      <c r="I21" s="42"/>
      <c r="J21" s="42"/>
      <c r="K21" s="42"/>
      <c r="L21" s="42"/>
      <c r="M21" s="43"/>
      <c r="N21" s="49"/>
      <c r="Q21" s="16" t="s">
        <v>4</v>
      </c>
      <c r="AA21" s="50"/>
    </row>
    <row r="22" spans="1:27" ht="20.100000000000001" customHeight="1">
      <c r="A22" s="41" t="s">
        <v>49</v>
      </c>
      <c r="B22" s="20"/>
      <c r="C22" s="45"/>
      <c r="D22" s="43"/>
      <c r="E22" s="42"/>
      <c r="F22" s="42"/>
      <c r="G22" s="42"/>
      <c r="H22" s="22"/>
      <c r="I22" s="42"/>
      <c r="J22" s="42"/>
      <c r="K22" s="42"/>
      <c r="L22" s="42"/>
      <c r="M22" s="43"/>
      <c r="N22" s="52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7" ht="20.100000000000001" customHeight="1">
      <c r="A23" s="24"/>
      <c r="B23" s="23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27" ht="20.100000000000001" customHeight="1">
      <c r="A24" s="24"/>
      <c r="B24" s="23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27" ht="20.100000000000001" customHeight="1">
      <c r="A25" s="26"/>
      <c r="B25" s="27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27" ht="20.100000000000001" customHeight="1">
      <c r="A26" s="24"/>
      <c r="B26" s="23"/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27">
      <c r="A27" s="24"/>
      <c r="B27" s="23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27">
      <c r="A28" s="24"/>
      <c r="B28" s="23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27">
      <c r="A29" s="24"/>
      <c r="B29" s="23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27">
      <c r="A30" s="24"/>
      <c r="B30" s="23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27">
      <c r="A31" s="24"/>
      <c r="B31" s="23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27">
      <c r="A32" s="24"/>
      <c r="B32" s="23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>
      <c r="A33" s="24"/>
      <c r="B33" s="23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>
      <c r="A34" s="24"/>
      <c r="B34" s="23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>
      <c r="A35" s="24"/>
      <c r="B35" s="23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>
      <c r="A36" s="24"/>
      <c r="B36" s="23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>
      <c r="A37" s="24"/>
      <c r="B37" s="23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>
      <c r="A38" s="24"/>
      <c r="B38" s="23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>
      <c r="A39" s="24"/>
      <c r="B39" s="23"/>
      <c r="C39" s="23"/>
      <c r="D39" s="24"/>
      <c r="E39" s="24"/>
      <c r="F39" s="24"/>
      <c r="G39" s="24"/>
      <c r="H39" s="24"/>
      <c r="I39" s="24"/>
      <c r="J39" s="24"/>
      <c r="K39" s="24"/>
      <c r="L39" s="24"/>
      <c r="M39" s="24"/>
    </row>
  </sheetData>
  <mergeCells count="1">
    <mergeCell ref="A1:M1"/>
  </mergeCells>
  <phoneticPr fontId="13" type="noConversion"/>
  <conditionalFormatting sqref="I7:M22">
    <cfRule type="expression" dxfId="1" priority="1">
      <formula>OR(I7&lt;$G7, I7&gt;$F7)</formula>
    </cfRule>
  </conditionalFormatting>
  <printOptions horizontalCentered="1"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06296C-3995-469C-B5F9-EAB060CCC964}">
          <x14:formula1>
            <xm:f>Source!$B$2:$B$100</xm:f>
          </x14:formula1>
          <xm:sqref>B7:B22</xm:sqref>
        </x14:dataValidation>
        <x14:dataValidation type="list" allowBlank="1" showInputMessage="1" showErrorMessage="1" xr:uid="{4C67EF38-5D4F-4607-8FE6-56E9A0A76BE2}">
          <x14:formula1>
            <xm:f>Source!$C$2:$C$100</xm:f>
          </x14:formula1>
          <xm:sqref>H7:H22</xm:sqref>
        </x14:dataValidation>
        <x14:dataValidation type="list" allowBlank="1" showInputMessage="1" showErrorMessage="1" xr:uid="{2894C79E-0A44-4C82-95A4-6957BC327C17}">
          <x14:formula1>
            <xm:f>Source!$D$2:$D$100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66A-FEA4-4C81-AF3E-682598246056}">
  <dimension ref="A1:V100"/>
  <sheetViews>
    <sheetView zoomScale="115" zoomScaleNormal="115" workbookViewId="0">
      <selection activeCell="P15" sqref="P15"/>
    </sheetView>
  </sheetViews>
  <sheetFormatPr defaultColWidth="9" defaultRowHeight="11.25"/>
  <cols>
    <col min="1" max="1" width="3.7109375" style="60" customWidth="1"/>
    <col min="2" max="2" width="7.7109375" style="76" customWidth="1"/>
    <col min="3" max="3" width="6.7109375" style="76" customWidth="1"/>
    <col min="4" max="5" width="7.7109375" style="60" customWidth="1"/>
    <col min="6" max="7" width="5.7109375" style="60" customWidth="1"/>
    <col min="8" max="8" width="9.7109375" style="60" customWidth="1"/>
    <col min="9" max="13" width="5.7109375" style="60" customWidth="1"/>
    <col min="14" max="16384" width="9" style="60"/>
  </cols>
  <sheetData>
    <row r="1" spans="1:22" ht="42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57"/>
      <c r="O1" s="58"/>
      <c r="P1" s="58"/>
      <c r="Q1" s="58"/>
      <c r="R1" s="58"/>
      <c r="S1" s="58"/>
      <c r="T1" s="58"/>
      <c r="U1" s="58"/>
      <c r="V1" s="59"/>
    </row>
    <row r="2" spans="1:22" ht="26.45" customHeight="1">
      <c r="A2" s="80" t="s">
        <v>3</v>
      </c>
      <c r="B2" s="81"/>
      <c r="C2" s="81"/>
      <c r="J2" s="82" t="s">
        <v>41</v>
      </c>
      <c r="K2" s="77" t="s">
        <v>51</v>
      </c>
      <c r="L2" s="79"/>
      <c r="M2" s="62"/>
      <c r="N2" s="63"/>
      <c r="V2" s="64"/>
    </row>
    <row r="3" spans="1:22" ht="26.45" customHeight="1">
      <c r="A3" s="34" t="s">
        <v>40</v>
      </c>
      <c r="B3" s="81"/>
      <c r="C3" s="81"/>
      <c r="J3" s="61" t="s">
        <v>42</v>
      </c>
      <c r="K3" s="77">
        <v>10011</v>
      </c>
      <c r="L3" s="79"/>
      <c r="M3" s="62"/>
      <c r="N3" s="63"/>
      <c r="V3" s="64"/>
    </row>
    <row r="4" spans="1:22" ht="26.45" customHeight="1">
      <c r="B4" s="60"/>
      <c r="C4" s="65"/>
      <c r="D4" s="65"/>
      <c r="J4" s="61" t="s">
        <v>43</v>
      </c>
      <c r="K4" s="61" t="s">
        <v>45</v>
      </c>
      <c r="N4" s="63"/>
      <c r="V4" s="64"/>
    </row>
    <row r="5" spans="1:22" ht="26.45" customHeight="1">
      <c r="A5" s="78"/>
      <c r="B5" s="81"/>
      <c r="C5" s="81"/>
      <c r="N5" s="63"/>
      <c r="V5" s="64"/>
    </row>
    <row r="6" spans="1:22" ht="30" customHeight="1">
      <c r="A6" s="66" t="s">
        <v>18</v>
      </c>
      <c r="B6" s="83" t="s">
        <v>19</v>
      </c>
      <c r="C6" s="83" t="s">
        <v>20</v>
      </c>
      <c r="D6" s="67" t="s">
        <v>37</v>
      </c>
      <c r="E6" s="67" t="s">
        <v>38</v>
      </c>
      <c r="F6" s="66" t="s">
        <v>21</v>
      </c>
      <c r="G6" s="66" t="s">
        <v>22</v>
      </c>
      <c r="H6" s="66" t="s">
        <v>23</v>
      </c>
      <c r="I6" s="66" t="s">
        <v>24</v>
      </c>
      <c r="J6" s="66" t="s">
        <v>25</v>
      </c>
      <c r="K6" s="66" t="s">
        <v>26</v>
      </c>
      <c r="L6" s="66" t="s">
        <v>27</v>
      </c>
      <c r="M6" s="66" t="s">
        <v>28</v>
      </c>
      <c r="N6" s="68"/>
      <c r="V6" s="64"/>
    </row>
    <row r="7" spans="1:22" ht="20.100000000000001" customHeight="1">
      <c r="A7" s="61" t="s">
        <v>0</v>
      </c>
      <c r="B7" s="84" t="s">
        <v>30</v>
      </c>
      <c r="C7" s="69">
        <v>0.13</v>
      </c>
      <c r="D7" s="69">
        <v>0.01</v>
      </c>
      <c r="E7" s="69">
        <v>0.01</v>
      </c>
      <c r="F7" s="69">
        <f>C7+D7</f>
        <v>0.14000000000000001</v>
      </c>
      <c r="G7" s="69">
        <f>C7-E7</f>
        <v>0.12000000000000001</v>
      </c>
      <c r="H7" s="61" t="s">
        <v>35</v>
      </c>
      <c r="I7" s="69">
        <f>Measurement!C4</f>
        <v>0.12540000000000001</v>
      </c>
      <c r="J7" s="69">
        <f>Measurement!C5</f>
        <v>0.1221</v>
      </c>
      <c r="K7" s="69">
        <f>Measurement!C6</f>
        <v>0.1236</v>
      </c>
      <c r="L7" s="69">
        <f>Measurement!C7</f>
        <v>0</v>
      </c>
      <c r="M7" s="69">
        <f>Measurement!C8</f>
        <v>0</v>
      </c>
      <c r="N7" s="63"/>
      <c r="V7" s="64"/>
    </row>
    <row r="8" spans="1:22" ht="20.100000000000001" customHeight="1">
      <c r="A8" s="61" t="s">
        <v>1</v>
      </c>
      <c r="B8" s="84" t="s">
        <v>30</v>
      </c>
      <c r="C8" s="69">
        <v>2.5</v>
      </c>
      <c r="D8" s="69">
        <v>0.01</v>
      </c>
      <c r="E8" s="69">
        <v>0.01</v>
      </c>
      <c r="F8" s="69">
        <f t="shared" ref="F8:F20" si="0">C8+D8</f>
        <v>2.5099999999999998</v>
      </c>
      <c r="G8" s="69">
        <f t="shared" ref="G8:G20" si="1">C8-E8</f>
        <v>2.4900000000000002</v>
      </c>
      <c r="H8" s="61" t="s">
        <v>35</v>
      </c>
      <c r="I8" s="69">
        <f>Measurement!D4</f>
        <v>2.4889000000000001</v>
      </c>
      <c r="J8" s="69">
        <f>Measurement!D5</f>
        <v>2.4861</v>
      </c>
      <c r="K8" s="69">
        <f>Measurement!D6</f>
        <v>2.4988999999999999</v>
      </c>
      <c r="L8" s="69">
        <f>Measurement!D7</f>
        <v>0</v>
      </c>
      <c r="M8" s="69">
        <f>Measurement!D8</f>
        <v>0</v>
      </c>
      <c r="N8" s="63"/>
      <c r="V8" s="64"/>
    </row>
    <row r="9" spans="1:22" ht="20.100000000000001" customHeight="1">
      <c r="A9" s="61" t="s">
        <v>6</v>
      </c>
      <c r="B9" s="84" t="s">
        <v>30</v>
      </c>
      <c r="C9" s="69">
        <v>2.5</v>
      </c>
      <c r="D9" s="69">
        <v>0.01</v>
      </c>
      <c r="E9" s="69">
        <v>0.01</v>
      </c>
      <c r="F9" s="69">
        <f t="shared" si="0"/>
        <v>2.5099999999999998</v>
      </c>
      <c r="G9" s="69">
        <f t="shared" si="1"/>
        <v>2.4900000000000002</v>
      </c>
      <c r="H9" s="61" t="s">
        <v>35</v>
      </c>
      <c r="I9" s="69">
        <f>Measurement!E4</f>
        <v>2.4963000000000002</v>
      </c>
      <c r="J9" s="69">
        <f>Measurement!E5</f>
        <v>2.496</v>
      </c>
      <c r="K9" s="69">
        <f>Measurement!E6</f>
        <v>2.4973000000000001</v>
      </c>
      <c r="L9" s="69">
        <f>Measurement!E7</f>
        <v>0</v>
      </c>
      <c r="M9" s="69">
        <f>Measurement!E8</f>
        <v>0</v>
      </c>
      <c r="N9" s="63"/>
      <c r="V9" s="64"/>
    </row>
    <row r="10" spans="1:22" ht="20.100000000000001" customHeight="1">
      <c r="A10" s="61" t="s">
        <v>8</v>
      </c>
      <c r="B10" s="84" t="s">
        <v>30</v>
      </c>
      <c r="C10" s="69">
        <v>0.13</v>
      </c>
      <c r="D10" s="69">
        <v>0.01</v>
      </c>
      <c r="E10" s="69">
        <v>0.01</v>
      </c>
      <c r="F10" s="69">
        <f t="shared" si="0"/>
        <v>0.14000000000000001</v>
      </c>
      <c r="G10" s="69">
        <f t="shared" si="1"/>
        <v>0.12000000000000001</v>
      </c>
      <c r="H10" s="61" t="s">
        <v>35</v>
      </c>
      <c r="I10" s="69">
        <f>Measurement!F4</f>
        <v>0.1308</v>
      </c>
      <c r="J10" s="69">
        <f>Measurement!F5</f>
        <v>0.12479999999999999</v>
      </c>
      <c r="K10" s="69">
        <f>Measurement!F6</f>
        <v>0.12920000000000001</v>
      </c>
      <c r="L10" s="69">
        <f>Measurement!F7</f>
        <v>0</v>
      </c>
      <c r="M10" s="69">
        <f>Measurement!F8</f>
        <v>0</v>
      </c>
      <c r="N10" s="63"/>
      <c r="V10" s="64"/>
    </row>
    <row r="11" spans="1:22" ht="20.100000000000001" customHeight="1">
      <c r="A11" s="61" t="s">
        <v>9</v>
      </c>
      <c r="B11" s="84" t="s">
        <v>30</v>
      </c>
      <c r="C11" s="69">
        <v>5</v>
      </c>
      <c r="D11" s="69">
        <v>0.01</v>
      </c>
      <c r="E11" s="69">
        <v>0.01</v>
      </c>
      <c r="F11" s="69">
        <f t="shared" si="0"/>
        <v>5.01</v>
      </c>
      <c r="G11" s="69">
        <f t="shared" si="1"/>
        <v>4.99</v>
      </c>
      <c r="H11" s="61" t="s">
        <v>35</v>
      </c>
      <c r="I11" s="69">
        <f>Measurement!G4</f>
        <v>4.9768999999999997</v>
      </c>
      <c r="J11" s="69">
        <f>Measurement!G5</f>
        <v>4.9854000000000003</v>
      </c>
      <c r="K11" s="69">
        <f>Measurement!G6</f>
        <v>4.9912999999999998</v>
      </c>
      <c r="L11" s="69">
        <f>Measurement!G7</f>
        <v>0</v>
      </c>
      <c r="M11" s="69">
        <f>Measurement!G8</f>
        <v>0</v>
      </c>
      <c r="N11" s="63"/>
      <c r="V11" s="64"/>
    </row>
    <row r="12" spans="1:22" ht="20.100000000000001" customHeight="1">
      <c r="A12" s="61" t="s">
        <v>10</v>
      </c>
      <c r="B12" s="84" t="s">
        <v>30</v>
      </c>
      <c r="C12" s="69">
        <v>5</v>
      </c>
      <c r="D12" s="69">
        <v>0.01</v>
      </c>
      <c r="E12" s="69">
        <v>0.01</v>
      </c>
      <c r="F12" s="69">
        <f t="shared" si="0"/>
        <v>5.01</v>
      </c>
      <c r="G12" s="69">
        <f t="shared" si="1"/>
        <v>4.99</v>
      </c>
      <c r="H12" s="61" t="s">
        <v>35</v>
      </c>
      <c r="I12" s="69">
        <f>Measurement!H4</f>
        <v>4.9935</v>
      </c>
      <c r="J12" s="69">
        <f>Measurement!H5</f>
        <v>4.9988000000000001</v>
      </c>
      <c r="K12" s="69">
        <f>Measurement!H6</f>
        <v>4.9901</v>
      </c>
      <c r="L12" s="69">
        <f>Measurement!H7</f>
        <v>0</v>
      </c>
      <c r="M12" s="69">
        <f>Measurement!H8</f>
        <v>0</v>
      </c>
      <c r="N12" s="63"/>
      <c r="V12" s="64"/>
    </row>
    <row r="13" spans="1:22" ht="20.100000000000001" customHeight="1">
      <c r="A13" s="61" t="s">
        <v>11</v>
      </c>
      <c r="B13" s="84" t="s">
        <v>31</v>
      </c>
      <c r="C13" s="69">
        <v>2.5</v>
      </c>
      <c r="D13" s="69">
        <v>0.01</v>
      </c>
      <c r="E13" s="69">
        <v>0.01</v>
      </c>
      <c r="F13" s="69">
        <f t="shared" si="0"/>
        <v>2.5099999999999998</v>
      </c>
      <c r="G13" s="69">
        <f t="shared" si="1"/>
        <v>2.4900000000000002</v>
      </c>
      <c r="H13" s="61" t="s">
        <v>35</v>
      </c>
      <c r="I13" s="69">
        <f>Measurement!I4</f>
        <v>2.4946000000000002</v>
      </c>
      <c r="J13" s="69">
        <f>Measurement!I5</f>
        <v>2.4921000000000002</v>
      </c>
      <c r="K13" s="69">
        <f>Measurement!I6</f>
        <v>2.5049000000000001</v>
      </c>
      <c r="L13" s="69">
        <f>Measurement!I7</f>
        <v>0</v>
      </c>
      <c r="M13" s="69">
        <f>Measurement!I8</f>
        <v>0</v>
      </c>
      <c r="N13" s="63"/>
      <c r="V13" s="64"/>
    </row>
    <row r="14" spans="1:22" ht="20.100000000000001" customHeight="1">
      <c r="A14" s="61" t="s">
        <v>12</v>
      </c>
      <c r="B14" s="84" t="s">
        <v>32</v>
      </c>
      <c r="C14" s="69">
        <v>1</v>
      </c>
      <c r="D14" s="69">
        <v>0.01</v>
      </c>
      <c r="E14" s="69">
        <v>0.01</v>
      </c>
      <c r="F14" s="69">
        <f t="shared" si="0"/>
        <v>1.01</v>
      </c>
      <c r="G14" s="69">
        <f t="shared" si="1"/>
        <v>0.99</v>
      </c>
      <c r="H14" s="61" t="s">
        <v>35</v>
      </c>
      <c r="I14" s="69">
        <f>Measurement!J4</f>
        <v>0.99650000000000005</v>
      </c>
      <c r="J14" s="69">
        <f>Measurement!J5</f>
        <v>0.99650000000000005</v>
      </c>
      <c r="K14" s="69">
        <f>Measurement!J6</f>
        <v>0.99650000000000005</v>
      </c>
      <c r="L14" s="69">
        <f>Measurement!J7</f>
        <v>0</v>
      </c>
      <c r="M14" s="69">
        <f>Measurement!J8</f>
        <v>0</v>
      </c>
      <c r="N14" s="63" t="s">
        <v>5</v>
      </c>
      <c r="V14" s="64"/>
    </row>
    <row r="15" spans="1:22" ht="20.100000000000001" customHeight="1">
      <c r="A15" s="61" t="s">
        <v>13</v>
      </c>
      <c r="B15" s="84" t="s">
        <v>32</v>
      </c>
      <c r="C15" s="69">
        <v>1</v>
      </c>
      <c r="D15" s="69">
        <v>0.01</v>
      </c>
      <c r="E15" s="69">
        <v>0.01</v>
      </c>
      <c r="F15" s="69">
        <f t="shared" si="0"/>
        <v>1.01</v>
      </c>
      <c r="G15" s="69">
        <f t="shared" si="1"/>
        <v>0.99</v>
      </c>
      <c r="H15" s="61" t="s">
        <v>35</v>
      </c>
      <c r="I15" s="69">
        <f>Measurement!K4</f>
        <v>0.99650000000000005</v>
      </c>
      <c r="J15" s="69">
        <f>Measurement!K5</f>
        <v>0.99650000000000005</v>
      </c>
      <c r="K15" s="69">
        <f>Measurement!K6</f>
        <v>0.99650000000000005</v>
      </c>
      <c r="L15" s="69">
        <f>Measurement!K7</f>
        <v>0</v>
      </c>
      <c r="M15" s="69">
        <f>Measurement!K8</f>
        <v>0</v>
      </c>
      <c r="N15" s="63"/>
      <c r="V15" s="64"/>
    </row>
    <row r="16" spans="1:22" ht="20.100000000000001" customHeight="1">
      <c r="A16" s="61" t="s">
        <v>14</v>
      </c>
      <c r="B16" s="84" t="s">
        <v>32</v>
      </c>
      <c r="C16" s="69">
        <v>1</v>
      </c>
      <c r="D16" s="69">
        <v>0.01</v>
      </c>
      <c r="E16" s="69">
        <v>0.01</v>
      </c>
      <c r="F16" s="69">
        <f t="shared" si="0"/>
        <v>1.01</v>
      </c>
      <c r="G16" s="69">
        <f t="shared" si="1"/>
        <v>0.99</v>
      </c>
      <c r="H16" s="61" t="s">
        <v>35</v>
      </c>
      <c r="I16" s="69">
        <f>Measurement!L4</f>
        <v>0.99650000000000005</v>
      </c>
      <c r="J16" s="69">
        <f>Measurement!L5</f>
        <v>0.99650000000000005</v>
      </c>
      <c r="K16" s="69">
        <f>Measurement!L6</f>
        <v>0.99650000000000005</v>
      </c>
      <c r="L16" s="69">
        <f>Measurement!L7</f>
        <v>0</v>
      </c>
      <c r="M16" s="69">
        <f>Measurement!L8</f>
        <v>0</v>
      </c>
      <c r="N16" s="63"/>
      <c r="V16" s="64"/>
    </row>
    <row r="17" spans="1:22" ht="20.100000000000001" customHeight="1">
      <c r="A17" s="61" t="s">
        <v>15</v>
      </c>
      <c r="B17" s="84" t="s">
        <v>32</v>
      </c>
      <c r="C17" s="69">
        <v>1</v>
      </c>
      <c r="D17" s="69">
        <v>0.01</v>
      </c>
      <c r="E17" s="69">
        <v>0.01</v>
      </c>
      <c r="F17" s="69">
        <f t="shared" si="0"/>
        <v>1.01</v>
      </c>
      <c r="G17" s="69">
        <f t="shared" si="1"/>
        <v>0.99</v>
      </c>
      <c r="H17" s="61" t="s">
        <v>35</v>
      </c>
      <c r="I17" s="69">
        <f>Measurement!M4</f>
        <v>0.99650000000000005</v>
      </c>
      <c r="J17" s="69">
        <f>Measurement!M5</f>
        <v>0.99650000000000005</v>
      </c>
      <c r="K17" s="69">
        <f>Measurement!M6</f>
        <v>0.99650000000000005</v>
      </c>
      <c r="L17" s="69">
        <f>Measurement!M7</f>
        <v>0</v>
      </c>
      <c r="M17" s="69">
        <f>Measurement!M8</f>
        <v>0</v>
      </c>
      <c r="N17" s="63"/>
      <c r="V17" s="64"/>
    </row>
    <row r="18" spans="1:22" ht="20.100000000000001" customHeight="1">
      <c r="A18" s="61" t="s">
        <v>16</v>
      </c>
      <c r="B18" s="84" t="s">
        <v>33</v>
      </c>
      <c r="C18" s="69">
        <v>0.125</v>
      </c>
      <c r="D18" s="69">
        <v>5.0000000000000001E-3</v>
      </c>
      <c r="E18" s="69">
        <v>5.0000000000000001E-3</v>
      </c>
      <c r="F18" s="69">
        <f t="shared" si="0"/>
        <v>0.13</v>
      </c>
      <c r="G18" s="69">
        <f t="shared" si="1"/>
        <v>0.12</v>
      </c>
      <c r="H18" s="61" t="s">
        <v>36</v>
      </c>
      <c r="I18" s="69">
        <f>Measurement!N4</f>
        <v>0.13120000000000001</v>
      </c>
      <c r="J18" s="69">
        <f>Measurement!N5</f>
        <v>0.1313</v>
      </c>
      <c r="K18" s="69">
        <f>Measurement!N6</f>
        <v>0.12970000000000001</v>
      </c>
      <c r="L18" s="69">
        <f>Measurement!N7</f>
        <v>0</v>
      </c>
      <c r="M18" s="69">
        <f>Measurement!N8</f>
        <v>0</v>
      </c>
      <c r="N18" s="63"/>
      <c r="V18" s="64"/>
    </row>
    <row r="19" spans="1:22" ht="20.100000000000001" customHeight="1">
      <c r="A19" s="61" t="s">
        <v>17</v>
      </c>
      <c r="B19" s="84" t="s">
        <v>30</v>
      </c>
      <c r="C19" s="69">
        <v>6.3E-2</v>
      </c>
      <c r="D19" s="69">
        <v>5.0000000000000001E-3</v>
      </c>
      <c r="E19" s="69">
        <v>5.0000000000000001E-3</v>
      </c>
      <c r="F19" s="69">
        <f t="shared" si="0"/>
        <v>6.8000000000000005E-2</v>
      </c>
      <c r="G19" s="69">
        <f t="shared" si="1"/>
        <v>5.8000000000000003E-2</v>
      </c>
      <c r="H19" s="61" t="s">
        <v>35</v>
      </c>
      <c r="I19" s="69">
        <f>Measurement!O4</f>
        <v>6.25E-2</v>
      </c>
      <c r="J19" s="69">
        <f>Measurement!O5</f>
        <v>6.1800000000000001E-2</v>
      </c>
      <c r="K19" s="69">
        <f>Measurement!O6</f>
        <v>6.4500000000000002E-2</v>
      </c>
      <c r="L19" s="69">
        <f>Measurement!O7</f>
        <v>0</v>
      </c>
      <c r="M19" s="69">
        <f>Measurement!O8</f>
        <v>0</v>
      </c>
      <c r="N19" s="63"/>
      <c r="V19" s="64"/>
    </row>
    <row r="20" spans="1:22" ht="20.100000000000001" customHeight="1">
      <c r="A20" s="61" t="s">
        <v>47</v>
      </c>
      <c r="B20" s="84" t="s">
        <v>30</v>
      </c>
      <c r="C20" s="69">
        <v>0.125</v>
      </c>
      <c r="D20" s="69">
        <v>5.0000000000000001E-3</v>
      </c>
      <c r="E20" s="69">
        <v>5.0000000000000001E-3</v>
      </c>
      <c r="F20" s="69">
        <f t="shared" si="0"/>
        <v>0.13</v>
      </c>
      <c r="G20" s="69">
        <f t="shared" si="1"/>
        <v>0.12</v>
      </c>
      <c r="H20" s="61" t="s">
        <v>35</v>
      </c>
      <c r="I20" s="69">
        <f>Measurement!P4</f>
        <v>0.13020000000000001</v>
      </c>
      <c r="J20" s="69">
        <f>Measurement!P5</f>
        <v>0.1295</v>
      </c>
      <c r="K20" s="69">
        <f>Measurement!P6</f>
        <v>0.13420000000000001</v>
      </c>
      <c r="L20" s="69">
        <f>Measurement!P7</f>
        <v>0</v>
      </c>
      <c r="M20" s="69">
        <f>Measurement!P8</f>
        <v>0</v>
      </c>
      <c r="N20" s="63"/>
      <c r="V20" s="64"/>
    </row>
    <row r="21" spans="1:22" ht="20.100000000000001" customHeight="1">
      <c r="A21" s="73"/>
      <c r="B21" s="65"/>
      <c r="C21" s="6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63"/>
      <c r="V21" s="64"/>
    </row>
    <row r="22" spans="1:22" ht="20.100000000000001" customHeight="1">
      <c r="A22" s="73"/>
      <c r="B22" s="65"/>
      <c r="C22" s="6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63"/>
      <c r="V22" s="64"/>
    </row>
    <row r="23" spans="1:22" ht="20.100000000000001" customHeight="1">
      <c r="A23" s="74"/>
      <c r="B23" s="75"/>
      <c r="C23" s="65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63"/>
      <c r="V23" s="64"/>
    </row>
    <row r="24" spans="1:22" ht="20.100000000000001" customHeight="1">
      <c r="A24" s="73"/>
      <c r="B24" s="65"/>
      <c r="C24" s="6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63"/>
      <c r="V24" s="64"/>
    </row>
    <row r="25" spans="1:22" ht="20.100000000000001" customHeight="1">
      <c r="A25" s="73"/>
      <c r="B25" s="65"/>
      <c r="C25" s="6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63"/>
      <c r="V25" s="64"/>
    </row>
    <row r="26" spans="1:22" ht="20.100000000000001" customHeight="1">
      <c r="A26" s="73"/>
      <c r="B26" s="65"/>
      <c r="C26" s="6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63"/>
      <c r="V26" s="64"/>
    </row>
    <row r="27" spans="1:22" ht="20.100000000000001" customHeight="1">
      <c r="A27" s="73"/>
      <c r="B27" s="65"/>
      <c r="C27" s="6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63"/>
      <c r="V27" s="64"/>
    </row>
    <row r="28" spans="1:22" ht="20.100000000000001" customHeight="1">
      <c r="A28" s="73"/>
      <c r="B28" s="65"/>
      <c r="C28" s="6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63"/>
      <c r="V28" s="64"/>
    </row>
    <row r="29" spans="1:22" ht="20.100000000000001" customHeight="1">
      <c r="A29" s="73"/>
      <c r="B29" s="65"/>
      <c r="C29" s="6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63"/>
      <c r="V29" s="64"/>
    </row>
    <row r="30" spans="1:22" ht="20.100000000000001" customHeight="1">
      <c r="A30" s="73"/>
      <c r="B30" s="65"/>
      <c r="C30" s="6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63"/>
      <c r="V30" s="64"/>
    </row>
    <row r="31" spans="1:22" ht="20.100000000000001" customHeight="1">
      <c r="A31" s="73"/>
      <c r="B31" s="65"/>
      <c r="C31" s="6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63"/>
      <c r="V31" s="64"/>
    </row>
    <row r="32" spans="1:22" ht="20.100000000000001" customHeight="1">
      <c r="A32" s="73"/>
      <c r="B32" s="65"/>
      <c r="C32" s="6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63"/>
      <c r="V32" s="64"/>
    </row>
    <row r="33" spans="1:22" ht="20.100000000000001" customHeight="1">
      <c r="A33" s="73"/>
      <c r="B33" s="65"/>
      <c r="C33" s="6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63"/>
      <c r="V33" s="64"/>
    </row>
    <row r="34" spans="1:22" ht="20.100000000000001" customHeight="1">
      <c r="A34" s="73"/>
      <c r="B34" s="65"/>
      <c r="C34" s="6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63"/>
      <c r="V34" s="64"/>
    </row>
    <row r="35" spans="1:22" ht="20.100000000000001" customHeight="1">
      <c r="A35" s="73"/>
      <c r="B35" s="65"/>
      <c r="C35" s="6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63"/>
      <c r="V35" s="64"/>
    </row>
    <row r="36" spans="1:22" ht="20.100000000000001" customHeight="1">
      <c r="A36" s="73"/>
      <c r="B36" s="65"/>
      <c r="C36" s="6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63"/>
      <c r="V36" s="64"/>
    </row>
    <row r="37" spans="1:22" ht="20.100000000000001" customHeight="1">
      <c r="A37" s="73"/>
      <c r="B37" s="65"/>
      <c r="C37" s="6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63"/>
      <c r="V37" s="64"/>
    </row>
    <row r="38" spans="1:22" ht="20.100000000000001" customHeight="1">
      <c r="N38" s="63"/>
      <c r="V38" s="64"/>
    </row>
    <row r="39" spans="1:22" ht="20.100000000000001" customHeight="1">
      <c r="N39" s="63"/>
      <c r="V39" s="64"/>
    </row>
    <row r="40" spans="1:22" ht="20.100000000000001" customHeight="1">
      <c r="N40" s="63"/>
      <c r="V40" s="64"/>
    </row>
    <row r="41" spans="1:22" ht="20.100000000000001" customHeight="1">
      <c r="N41" s="63"/>
      <c r="V41" s="64"/>
    </row>
    <row r="42" spans="1:22" ht="20.100000000000001" customHeight="1">
      <c r="N42" s="63"/>
      <c r="V42" s="64"/>
    </row>
    <row r="43" spans="1:22" ht="20.100000000000001" customHeight="1">
      <c r="N43" s="63"/>
      <c r="V43" s="64"/>
    </row>
    <row r="44" spans="1:22" ht="20.100000000000001" customHeight="1">
      <c r="N44" s="70"/>
      <c r="O44" s="71"/>
      <c r="P44" s="71"/>
      <c r="Q44" s="71"/>
      <c r="R44" s="71"/>
      <c r="S44" s="71"/>
      <c r="T44" s="71"/>
      <c r="U44" s="71"/>
      <c r="V44" s="72"/>
    </row>
    <row r="45" spans="1:22" ht="20.100000000000001" customHeight="1"/>
    <row r="46" spans="1:22" ht="20.100000000000001" customHeight="1"/>
    <row r="47" spans="1:22" ht="20.100000000000001" customHeight="1"/>
    <row r="48" spans="1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</sheetData>
  <mergeCells count="1">
    <mergeCell ref="A1:M1"/>
  </mergeCells>
  <conditionalFormatting sqref="I7:M20">
    <cfRule type="expression" dxfId="0" priority="1">
      <formula>OR(N(I7)&gt;N($F7), N(I7)&lt;N($G7))</formula>
    </cfRule>
  </conditionalFormatting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8A1F28-4964-4C07-8CD4-6F4182D131A1}">
          <x14:formula1>
            <xm:f>Source!$D$2:$D$100</xm:f>
          </x14:formula1>
          <xm:sqref>K4</xm:sqref>
        </x14:dataValidation>
        <x14:dataValidation type="list" allowBlank="1" showInputMessage="1" showErrorMessage="1" xr:uid="{0AF9D2A0-AB18-427B-914E-3E7055FCA6A5}">
          <x14:formula1>
            <xm:f>Source!$C$2:$C$100</xm:f>
          </x14:formula1>
          <xm:sqref>H7:H20</xm:sqref>
        </x14:dataValidation>
        <x14:dataValidation type="list" allowBlank="1" showInputMessage="1" showErrorMessage="1" xr:uid="{A9276B3C-983C-4B4B-9D4A-499038F1DF36}">
          <x14:formula1>
            <xm:f>Source!$B$2:$B$100</xm:f>
          </x14:formula1>
          <xm:sqref>B7:B20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7B0A-CFC1-4849-8BF0-BC204AB729E1}">
  <dimension ref="B1:D5"/>
  <sheetViews>
    <sheetView workbookViewId="0">
      <selection activeCell="F23" sqref="F23"/>
    </sheetView>
  </sheetViews>
  <sheetFormatPr defaultRowHeight="15"/>
  <cols>
    <col min="2" max="4" width="15.7109375" style="55" customWidth="1"/>
  </cols>
  <sheetData>
    <row r="1" spans="2:4" ht="30" customHeight="1">
      <c r="B1" s="56" t="s">
        <v>29</v>
      </c>
      <c r="C1" s="56" t="s">
        <v>34</v>
      </c>
      <c r="D1" s="56" t="s">
        <v>44</v>
      </c>
    </row>
    <row r="2" spans="2:4">
      <c r="B2" s="55" t="s">
        <v>30</v>
      </c>
      <c r="C2" s="55" t="s">
        <v>35</v>
      </c>
      <c r="D2" s="55" t="s">
        <v>45</v>
      </c>
    </row>
    <row r="3" spans="2:4">
      <c r="B3" s="55" t="s">
        <v>31</v>
      </c>
      <c r="C3" s="55" t="s">
        <v>36</v>
      </c>
      <c r="D3" s="55" t="s">
        <v>46</v>
      </c>
    </row>
    <row r="4" spans="2:4">
      <c r="B4" s="55" t="s">
        <v>32</v>
      </c>
    </row>
    <row r="5" spans="2:4">
      <c r="B5" s="5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Measurement</vt:lpstr>
      <vt:lpstr>FAR</vt:lpstr>
      <vt:lpstr>FAR-v</vt:lpstr>
      <vt:lpstr>Source</vt:lpstr>
      <vt:lpstr>FAR!Print_Area</vt:lpstr>
      <vt:lpstr>'FAR-v'!Print_Area</vt:lpstr>
      <vt:lpstr>Measurement!Print_Area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2026-01-08T19:43:32Z</cp:lastPrinted>
  <dcterms:created xsi:type="dcterms:W3CDTF">2020-11-06T07:08:00Z</dcterms:created>
  <dcterms:modified xsi:type="dcterms:W3CDTF">2026-01-08T19:43:36Z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