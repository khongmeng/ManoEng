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manoe\Meng\solidworks\Measurements\"/>
    </mc:Choice>
  </mc:AlternateContent>
  <xr:revisionPtr revIDLastSave="0" documentId="13_ncr:1_{7C5CF76C-802E-4001-A0FC-B0E232C86B8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FAR" sheetId="18" r:id="rId1"/>
    <sheet name="FAR-v" sheetId="24" r:id="rId2"/>
    <sheet name="Measurement" sheetId="23" r:id="rId3"/>
    <sheet name="Source" sheetId="19" r:id="rId4"/>
  </sheets>
  <definedNames>
    <definedName name="_xlnm._FilterDatabase" localSheetId="0" hidden="1">FAR!$A$6:$M$11</definedName>
    <definedName name="_xlnm._FilterDatabase" localSheetId="1" hidden="1">'FAR-v'!$A$6:$M$11</definedName>
    <definedName name="_xlnm.Print_Area" localSheetId="0">FAR!$A$1:$AA$22</definedName>
    <definedName name="_xlnm.Print_Area" localSheetId="1">'FAR-v'!$A$1:$V$44</definedName>
    <definedName name="_xlnm.Print_Area" localSheetId="2">Measurement!$B$1:$P$26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4" l="1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G7" i="24"/>
  <c r="F7" i="24"/>
  <c r="M20" i="24"/>
  <c r="L20" i="24"/>
  <c r="K20" i="24"/>
  <c r="J20" i="24"/>
  <c r="I20" i="24"/>
  <c r="M19" i="24"/>
  <c r="L19" i="24"/>
  <c r="K19" i="24"/>
  <c r="J19" i="24"/>
  <c r="I19" i="24"/>
  <c r="M18" i="24"/>
  <c r="L18" i="24"/>
  <c r="K18" i="24"/>
  <c r="J18" i="24"/>
  <c r="I18" i="24"/>
  <c r="M17" i="24"/>
  <c r="L17" i="24"/>
  <c r="K17" i="24"/>
  <c r="J17" i="24"/>
  <c r="I17" i="24"/>
  <c r="M16" i="24"/>
  <c r="L16" i="24"/>
  <c r="K16" i="24"/>
  <c r="J16" i="24"/>
  <c r="I16" i="24"/>
  <c r="M15" i="24"/>
  <c r="L15" i="24"/>
  <c r="K15" i="24"/>
  <c r="J15" i="24"/>
  <c r="I15" i="24"/>
  <c r="M14" i="24"/>
  <c r="L14" i="24"/>
  <c r="K14" i="24"/>
  <c r="J14" i="24"/>
  <c r="I14" i="24"/>
  <c r="M13" i="24"/>
  <c r="L13" i="24"/>
  <c r="K13" i="24"/>
  <c r="J13" i="24"/>
  <c r="I13" i="24"/>
  <c r="M12" i="24"/>
  <c r="L12" i="24"/>
  <c r="K12" i="24"/>
  <c r="J12" i="24"/>
  <c r="I12" i="24"/>
  <c r="M11" i="24"/>
  <c r="L11" i="24"/>
  <c r="K11" i="24"/>
  <c r="J11" i="24"/>
  <c r="I11" i="24"/>
  <c r="M10" i="24"/>
  <c r="L10" i="24"/>
  <c r="K10" i="24"/>
  <c r="J10" i="24"/>
  <c r="I10" i="24"/>
  <c r="M9" i="24"/>
  <c r="L9" i="24"/>
  <c r="K9" i="24"/>
  <c r="J9" i="24"/>
  <c r="I9" i="24"/>
  <c r="M8" i="24"/>
  <c r="L8" i="24"/>
  <c r="K8" i="24"/>
  <c r="J8" i="24"/>
  <c r="I8" i="24"/>
  <c r="M7" i="24"/>
  <c r="L7" i="24"/>
  <c r="K7" i="24"/>
  <c r="J7" i="24"/>
  <c r="M20" i="18"/>
  <c r="L20" i="18"/>
  <c r="K20" i="18"/>
  <c r="J20" i="18"/>
  <c r="I20" i="18"/>
  <c r="M19" i="18"/>
  <c r="L19" i="18"/>
  <c r="K19" i="18"/>
  <c r="J19" i="18"/>
  <c r="I19" i="18"/>
  <c r="M18" i="18"/>
  <c r="L18" i="18"/>
  <c r="K18" i="18"/>
  <c r="J18" i="18"/>
  <c r="I18" i="18"/>
  <c r="M17" i="18"/>
  <c r="L17" i="18"/>
  <c r="K17" i="18"/>
  <c r="J17" i="18"/>
  <c r="I17" i="18"/>
  <c r="M16" i="18"/>
  <c r="L16" i="18"/>
  <c r="K16" i="18"/>
  <c r="J16" i="18"/>
  <c r="I16" i="18"/>
  <c r="M15" i="18"/>
  <c r="L15" i="18"/>
  <c r="K15" i="18"/>
  <c r="J15" i="18"/>
  <c r="I15" i="18"/>
  <c r="M14" i="18"/>
  <c r="L14" i="18"/>
  <c r="K14" i="18"/>
  <c r="J14" i="18"/>
  <c r="I14" i="18"/>
  <c r="M13" i="18"/>
  <c r="L13" i="18"/>
  <c r="K13" i="18"/>
  <c r="J13" i="18"/>
  <c r="I13" i="18"/>
  <c r="M12" i="18"/>
  <c r="L12" i="18"/>
  <c r="K12" i="18"/>
  <c r="J12" i="18"/>
  <c r="I12" i="18"/>
  <c r="M11" i="18"/>
  <c r="L11" i="18"/>
  <c r="K11" i="18"/>
  <c r="J11" i="18"/>
  <c r="I11" i="18"/>
  <c r="M10" i="18"/>
  <c r="L10" i="18"/>
  <c r="K10" i="18"/>
  <c r="J10" i="18"/>
  <c r="I10" i="18"/>
  <c r="M9" i="18"/>
  <c r="L9" i="18"/>
  <c r="K9" i="18"/>
  <c r="J9" i="18"/>
  <c r="I9" i="18"/>
  <c r="M8" i="18"/>
  <c r="L8" i="18"/>
  <c r="K8" i="18"/>
  <c r="M7" i="18"/>
  <c r="L7" i="18"/>
  <c r="K7" i="18"/>
  <c r="J8" i="18"/>
  <c r="I8" i="18"/>
  <c r="J7" i="18"/>
  <c r="I7" i="18"/>
</calcChain>
</file>

<file path=xl/sharedStrings.xml><?xml version="1.0" encoding="utf-8"?>
<sst xmlns="http://schemas.openxmlformats.org/spreadsheetml/2006/main" count="134" uniqueCount="52">
  <si>
    <t>A</t>
  </si>
  <si>
    <t>B</t>
  </si>
  <si>
    <t>Sample Measurement Record</t>
  </si>
  <si>
    <t>Mano Engineering LLC</t>
  </si>
  <si>
    <t xml:space="preserve"> </t>
  </si>
  <si>
    <t xml:space="preserve">    </t>
  </si>
  <si>
    <t>C</t>
  </si>
  <si>
    <t>No.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</si>
  <si>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</si>
  <si>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</si>
  <si>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</si>
  <si>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</si>
  <si>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</si>
  <si>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</si>
  <si>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</si>
  <si>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</si>
  <si>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</si>
  <si>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</si>
  <si>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FAI</t>
  </si>
  <si>
    <t>Type</t>
  </si>
  <si>
    <t>Nominal</t>
  </si>
  <si>
    <t>High Limit</t>
  </si>
  <si>
    <t>Low Limit</t>
  </si>
  <si>
    <t>Method</t>
  </si>
  <si>
    <t>Sample 1</t>
  </si>
  <si>
    <t>Sample 2</t>
  </si>
  <si>
    <t>Sample 3</t>
  </si>
  <si>
    <t>Sample 4</t>
  </si>
  <si>
    <t>Sample 5</t>
  </si>
  <si>
    <t>Type Source</t>
  </si>
  <si>
    <t>Length</t>
  </si>
  <si>
    <t>Diameter</t>
  </si>
  <si>
    <t>Radius</t>
  </si>
  <si>
    <t>Thinkness</t>
  </si>
  <si>
    <t>Method Source</t>
  </si>
  <si>
    <t>VMM</t>
  </si>
  <si>
    <t>CMM / ULM</t>
  </si>
  <si>
    <t>+ Tolerance</t>
  </si>
  <si>
    <t>- Tolerance</t>
  </si>
  <si>
    <t>PO #</t>
  </si>
  <si>
    <t>2512 Northland Drive, Mendota Heights, MN 55120</t>
  </si>
  <si>
    <t xml:space="preserve">Part Name </t>
  </si>
  <si>
    <t>Part #</t>
  </si>
  <si>
    <t>Unit</t>
  </si>
  <si>
    <t>Unit Source</t>
  </si>
  <si>
    <t>Inch</t>
  </si>
  <si>
    <t>MM</t>
  </si>
  <si>
    <t>N</t>
  </si>
  <si>
    <t>O</t>
  </si>
  <si>
    <t>P</t>
  </si>
  <si>
    <t xml:space="preserve">  </t>
  </si>
  <si>
    <t>Terra Shim 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</si>
</sst>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>
    <font>
      <sz val="11"/>
      <color theme="1"/>
      <name val="Calibri"/>
      <family val="2"/>
      <charset val="134"/>
      <scheme val="minor"/>
    </font>
    <font>
      <sz val="9"/>
      <color theme="1"/>
      <name val="思源黑体 CN Medium"/>
      <family val="2"/>
      <charset val="134"/>
    </font>
    <font>
      <sz val="9"/>
      <color theme="1"/>
      <name val="Source Han Sans SC"/>
      <family val="2"/>
    </font>
    <font>
      <sz val="9"/>
      <color theme="0"/>
      <name val="Source Han Sans SC"/>
      <family val="2"/>
    </font>
    <font>
      <sz val="10"/>
      <color theme="1"/>
      <name val="Source Han Sans SC"/>
      <family val="2"/>
    </font>
    <font>
      <sz val="20"/>
      <color theme="1"/>
      <name val="Source Han Sans SC"/>
      <family val="2"/>
    </font>
    <font>
      <sz val="9"/>
      <color rgb="FFFF0000"/>
      <name val="思源黑体 CN Medium"/>
      <family val="2"/>
      <charset val="134"/>
    </font>
    <font>
      <sz val="2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465926084170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31937A"/>
        <bgColor indexed="64"/>
      </patternFill>
    </fill>
  </fills>
  <borders count="35">
    <border>
      <left/>
      <right/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indexed="64"/>
      </bottom>
      <diagonal/>
    </border>
    <border>
      <left style="double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>
      <alignment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6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8" fillId="0" borderId="8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8" fillId="0" borderId="0" xfId="0" applyFont="1">
      <alignment vertical="center"/>
    </xf>
    <xf numFmtId="49" fontId="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49" fontId="11" fillId="0" borderId="0" xfId="0" applyNumberFormat="1" applyFont="1">
      <alignment vertical="center"/>
    </xf>
    <xf numFmtId="0" fontId="9" fillId="0" borderId="19" xfId="0" applyFont="1" applyBorder="1" applyAlignment="1">
      <alignment horizontal="right" vertical="center"/>
    </xf>
    <xf numFmtId="0" fontId="9" fillId="0" borderId="1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49" fontId="9" fillId="0" borderId="0" xfId="0" applyNumberFormat="1" applyFont="1">
      <alignment vertical="center"/>
    </xf>
    <xf numFmtId="0" fontId="10" fillId="2" borderId="2" xfId="0" applyFont="1" applyFill="1" applyBorder="1" applyAlignment="1">
      <alignment horizontal="center" vertical="center"/>
    </xf>
    <xf numFmtId="49" fontId="10" fillId="2" borderId="8" xfId="0" applyNumberFormat="1" applyFont="1" applyFill="1" applyBorder="1" applyAlignment="1">
      <alignment horizontal="center" vertical="center"/>
    </xf>
    <xf numFmtId="0" fontId="10" fillId="2" borderId="2" xfId="0" quotePrefix="1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49" fontId="1" fillId="0" borderId="27" xfId="0" applyNumberFormat="1" applyFont="1" applyBorder="1">
      <alignment vertical="center"/>
    </xf>
    <xf numFmtId="0" fontId="1" fillId="0" borderId="28" xfId="0" applyFont="1" applyBorder="1">
      <alignment vertical="center"/>
    </xf>
    <xf numFmtId="0" fontId="1" fillId="0" borderId="29" xfId="0" applyFont="1" applyBorder="1">
      <alignment vertical="center"/>
    </xf>
    <xf numFmtId="0" fontId="1" fillId="0" borderId="30" xfId="0" applyFont="1" applyBorder="1">
      <alignment vertical="center"/>
    </xf>
    <xf numFmtId="0" fontId="6" fillId="0" borderId="30" xfId="0" applyFont="1" applyBorder="1" applyAlignment="1">
      <alignment horizontal="right" vertical="center"/>
    </xf>
    <xf numFmtId="0" fontId="6" fillId="0" borderId="0" xfId="0" applyFont="1">
      <alignment vertical="center"/>
    </xf>
    <xf numFmtId="0" fontId="1" fillId="0" borderId="31" xfId="0" applyFont="1" applyBorder="1">
      <alignment vertical="center"/>
    </xf>
    <xf numFmtId="0" fontId="1" fillId="0" borderId="32" xfId="0" applyFont="1" applyBorder="1">
      <alignment vertical="center"/>
    </xf>
    <xf numFmtId="49" fontId="1" fillId="0" borderId="32" xfId="0" applyNumberFormat="1" applyFont="1" applyBorder="1">
      <alignment vertical="center"/>
    </xf>
    <xf numFmtId="0" fontId="1" fillId="0" borderId="33" xfId="0" applyFont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15" fillId="0" borderId="12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49" fontId="15" fillId="0" borderId="0" xfId="0" applyNumberFormat="1" applyFont="1">
      <alignment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2" xfId="0" quotePrefix="1" applyFont="1" applyFill="1" applyBorder="1" applyAlignment="1">
      <alignment horizontal="center" vertical="center" wrapText="1"/>
    </xf>
    <xf numFmtId="0" fontId="15" fillId="0" borderId="23" xfId="0" applyFont="1" applyBorder="1" applyAlignment="1">
      <alignment horizontal="left" vertical="center"/>
    </xf>
    <xf numFmtId="164" fontId="15" fillId="0" borderId="2" xfId="0" applyNumberFormat="1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 applyAlignment="1">
      <alignment horizontal="right" vertical="center"/>
    </xf>
    <xf numFmtId="49" fontId="17" fillId="0" borderId="0" xfId="0" applyNumberFormat="1" applyFont="1">
      <alignment vertical="center"/>
    </xf>
    <xf numFmtId="49" fontId="15" fillId="0" borderId="0" xfId="0" applyNumberFormat="1" applyFont="1" applyAlignment="1">
      <alignment horizontal="center" vertical="center"/>
    </xf>
    <xf numFmtId="0" fontId="15" fillId="0" borderId="11" xfId="0" applyFont="1" applyBorder="1" applyAlignment="1">
      <alignment horizontal="left" vertical="center" inden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15" fillId="0" borderId="34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top"/>
    </xf>
    <xf numFmtId="0" fontId="18" fillId="0" borderId="0" xfId="0" applyFont="1" applyBorder="1" applyAlignment="1">
      <alignment horizontal="left"/>
    </xf>
    <xf numFmtId="49" fontId="15" fillId="0" borderId="0" xfId="0" applyNumberFormat="1" applyFont="1" applyBorder="1" applyAlignment="1">
      <alignment horizontal="left" vertical="center"/>
    </xf>
    <xf numFmtId="0" fontId="9" fillId="0" borderId="0" xfId="0" applyFont="1" applyBorder="1" applyAlignment="1">
      <alignment horizontal="left" vertical="top"/>
    </xf>
    <xf numFmtId="49" fontId="15" fillId="0" borderId="0" xfId="0" applyNumberFormat="1" applyFont="1" applyBorder="1">
      <alignment vertical="center"/>
    </xf>
    <xf numFmtId="0" fontId="15" fillId="0" borderId="2" xfId="0" applyFont="1" applyBorder="1" applyAlignment="1">
      <alignment horizontal="center" vertical="center" wrapText="1"/>
    </xf>
    <xf numFmtId="49" fontId="16" fillId="2" borderId="2" xfId="0" applyNumberFormat="1" applyFont="1" applyFill="1" applyBorder="1" applyAlignment="1">
      <alignment horizontal="center" vertical="center" wrapText="1"/>
    </xf>
    <xf numFmtId="49" fontId="15" fillId="0" borderId="2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49" fontId="9" fillId="0" borderId="6" xfId="0" applyNumberFormat="1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10" fillId="2" borderId="3" xfId="0" applyFont="1" applyFill="1" applyBorder="1" applyAlignment="1">
      <alignment horizontal="center" vertical="center"/>
    </xf>
    <xf numFmtId="49" fontId="10" fillId="2" borderId="7" xfId="0" applyNumberFormat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8" fillId="0" borderId="8" xfId="0" applyNumberFormat="1" applyFont="1" applyFill="1" applyBorder="1" applyAlignment="1">
      <alignment horizontal="center" vertical="center"/>
    </xf>
    <xf numFmtId="164" fontId="8" fillId="0" borderId="9" xfId="0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FF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31937A"/>
      <color rgb="FF0698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41</xdr:row>
      <xdr:rowOff>10219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1FCEAF-2A66-4249-BA15-C492EF12E777}"/>
            </a:ext>
          </a:extLst>
        </xdr:cNvPr>
        <xdr:cNvSpPr txBox="1"/>
      </xdr:nvSpPr>
      <xdr:spPr>
        <a:xfrm>
          <a:off x="9001125" y="72492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34</xdr:row>
      <xdr:rowOff>47649</xdr:rowOff>
    </xdr:from>
    <xdr:ext cx="184731" cy="34278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BDAFBCA-4F4F-4A44-B2D5-8FAF0A48D423}"/>
            </a:ext>
          </a:extLst>
        </xdr:cNvPr>
        <xdr:cNvSpPr txBox="1"/>
      </xdr:nvSpPr>
      <xdr:spPr>
        <a:xfrm>
          <a:off x="9001125" y="59531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51</xdr:row>
      <xdr:rowOff>68706</xdr:rowOff>
    </xdr:from>
    <xdr:ext cx="184731" cy="342786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2309871-6788-4CF4-BF96-F9537393E2EB}"/>
            </a:ext>
          </a:extLst>
        </xdr:cNvPr>
        <xdr:cNvSpPr txBox="1"/>
      </xdr:nvSpPr>
      <xdr:spPr>
        <a:xfrm>
          <a:off x="9001125" y="9212706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34</xdr:row>
      <xdr:rowOff>37290</xdr:rowOff>
    </xdr:from>
    <xdr:ext cx="184731" cy="34278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CF78F67-6DDA-4141-B83B-0346F2150839}"/>
            </a:ext>
          </a:extLst>
        </xdr:cNvPr>
        <xdr:cNvSpPr txBox="1"/>
      </xdr:nvSpPr>
      <xdr:spPr>
        <a:xfrm>
          <a:off x="9001125" y="594279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32</xdr:row>
      <xdr:rowOff>30940</xdr:rowOff>
    </xdr:from>
    <xdr:ext cx="184731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8774EDF-8A40-4892-A17D-7FD7E750DF2D}"/>
            </a:ext>
          </a:extLst>
        </xdr:cNvPr>
        <xdr:cNvSpPr txBox="1"/>
      </xdr:nvSpPr>
      <xdr:spPr>
        <a:xfrm>
          <a:off x="9001125" y="555544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3</xdr:col>
      <xdr:colOff>49631</xdr:colOff>
      <xdr:row>12</xdr:row>
      <xdr:rowOff>91741</xdr:rowOff>
    </xdr:from>
    <xdr:ext cx="184731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26723C4-4334-480B-A54E-401C8BFA27B4}"/>
            </a:ext>
          </a:extLst>
        </xdr:cNvPr>
        <xdr:cNvSpPr txBox="1"/>
      </xdr:nvSpPr>
      <xdr:spPr>
        <a:xfrm>
          <a:off x="1849856" y="1806241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0</xdr:col>
      <xdr:colOff>275056</xdr:colOff>
      <xdr:row>20</xdr:row>
      <xdr:rowOff>2172</xdr:rowOff>
    </xdr:from>
    <xdr:ext cx="184731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990CF3B-C718-42EC-8518-F5EF92949F47}"/>
            </a:ext>
          </a:extLst>
        </xdr:cNvPr>
        <xdr:cNvSpPr txBox="1"/>
      </xdr:nvSpPr>
      <xdr:spPr>
        <a:xfrm>
          <a:off x="275056" y="324067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13</xdr:col>
      <xdr:colOff>0</xdr:colOff>
      <xdr:row>19</xdr:row>
      <xdr:rowOff>219577</xdr:rowOff>
    </xdr:from>
    <xdr:ext cx="184731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2C86405-6FDC-4837-89BD-D1435CAD1986}"/>
            </a:ext>
          </a:extLst>
        </xdr:cNvPr>
        <xdr:cNvSpPr txBox="1"/>
      </xdr:nvSpPr>
      <xdr:spPr>
        <a:xfrm>
          <a:off x="8035424" y="323900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6</xdr:col>
      <xdr:colOff>94582</xdr:colOff>
      <xdr:row>21</xdr:row>
      <xdr:rowOff>247649</xdr:rowOff>
    </xdr:from>
    <xdr:ext cx="184731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B41712F-6C2E-47E2-A337-429A0873E284}"/>
            </a:ext>
          </a:extLst>
        </xdr:cNvPr>
        <xdr:cNvSpPr txBox="1"/>
      </xdr:nvSpPr>
      <xdr:spPr>
        <a:xfrm>
          <a:off x="3695032" y="361949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7</xdr:col>
      <xdr:colOff>56482</xdr:colOff>
      <xdr:row>20</xdr:row>
      <xdr:rowOff>19049</xdr:rowOff>
    </xdr:from>
    <xdr:ext cx="184731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8AC109-18A4-4C5D-98D2-ECE75FDA697C}"/>
            </a:ext>
          </a:extLst>
        </xdr:cNvPr>
        <xdr:cNvSpPr txBox="1"/>
      </xdr:nvSpPr>
      <xdr:spPr>
        <a:xfrm>
          <a:off x="4257007" y="32575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6</xdr:col>
      <xdr:colOff>438150</xdr:colOff>
      <xdr:row>23</xdr:row>
      <xdr:rowOff>171450</xdr:rowOff>
    </xdr:from>
    <xdr:ext cx="184731" cy="37414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86EF6045-7EF8-43E6-A3AF-ECE8D056231E}"/>
            </a:ext>
          </a:extLst>
        </xdr:cNvPr>
        <xdr:cNvSpPr txBox="1"/>
      </xdr:nvSpPr>
      <xdr:spPr>
        <a:xfrm>
          <a:off x="4038600" y="3981450"/>
          <a:ext cx="184731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800" b="1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39</xdr:row>
      <xdr:rowOff>10219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897D2-7FAB-4981-9C2C-28663F382B64}"/>
            </a:ext>
          </a:extLst>
        </xdr:cNvPr>
        <xdr:cNvSpPr txBox="1"/>
      </xdr:nvSpPr>
      <xdr:spPr>
        <a:xfrm>
          <a:off x="8629650" y="943044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32</xdr:row>
      <xdr:rowOff>47649</xdr:rowOff>
    </xdr:from>
    <xdr:ext cx="184731" cy="34278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0FB1775-C7D2-403F-AFDE-9DEE2128CF16}"/>
            </a:ext>
          </a:extLst>
        </xdr:cNvPr>
        <xdr:cNvSpPr txBox="1"/>
      </xdr:nvSpPr>
      <xdr:spPr>
        <a:xfrm>
          <a:off x="8629650" y="8401074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49</xdr:row>
      <xdr:rowOff>68706</xdr:rowOff>
    </xdr:from>
    <xdr:ext cx="184731" cy="34278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4E00625-5AA1-4DC6-8D00-785113D51288}"/>
            </a:ext>
          </a:extLst>
        </xdr:cNvPr>
        <xdr:cNvSpPr txBox="1"/>
      </xdr:nvSpPr>
      <xdr:spPr>
        <a:xfrm>
          <a:off x="8629650" y="11012931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32</xdr:row>
      <xdr:rowOff>37290</xdr:rowOff>
    </xdr:from>
    <xdr:ext cx="184731" cy="342786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FF69007-6D75-4EEE-AEBA-9E16311DD191}"/>
            </a:ext>
          </a:extLst>
        </xdr:cNvPr>
        <xdr:cNvSpPr txBox="1"/>
      </xdr:nvSpPr>
      <xdr:spPr>
        <a:xfrm>
          <a:off x="8629650" y="8390715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30</xdr:row>
      <xdr:rowOff>30940</xdr:rowOff>
    </xdr:from>
    <xdr:ext cx="184731" cy="34278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70016BB-B4A9-4EAE-AE16-24DC37D095F4}"/>
            </a:ext>
          </a:extLst>
        </xdr:cNvPr>
        <xdr:cNvSpPr txBox="1"/>
      </xdr:nvSpPr>
      <xdr:spPr>
        <a:xfrm>
          <a:off x="8629650" y="8079565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3</xdr:col>
      <xdr:colOff>49631</xdr:colOff>
      <xdr:row>12</xdr:row>
      <xdr:rowOff>91741</xdr:rowOff>
    </xdr:from>
    <xdr:ext cx="184731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377416F-866F-4B71-9489-F66E03B8A6EE}"/>
            </a:ext>
          </a:extLst>
        </xdr:cNvPr>
        <xdr:cNvSpPr txBox="1"/>
      </xdr:nvSpPr>
      <xdr:spPr>
        <a:xfrm>
          <a:off x="1802231" y="3758866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0</xdr:col>
      <xdr:colOff>275056</xdr:colOff>
      <xdr:row>20</xdr:row>
      <xdr:rowOff>0</xdr:rowOff>
    </xdr:from>
    <xdr:ext cx="184731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6D3FD88-D247-4917-9653-BD75E6742088}"/>
            </a:ext>
          </a:extLst>
        </xdr:cNvPr>
        <xdr:cNvSpPr txBox="1"/>
      </xdr:nvSpPr>
      <xdr:spPr>
        <a:xfrm>
          <a:off x="275056" y="5650497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13</xdr:col>
      <xdr:colOff>0</xdr:colOff>
      <xdr:row>19</xdr:row>
      <xdr:rowOff>219577</xdr:rowOff>
    </xdr:from>
    <xdr:ext cx="184731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566B1DF-FC3C-40D8-BF2E-0304D7060612}"/>
            </a:ext>
          </a:extLst>
        </xdr:cNvPr>
        <xdr:cNvSpPr txBox="1"/>
      </xdr:nvSpPr>
      <xdr:spPr>
        <a:xfrm>
          <a:off x="8629650" y="562025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6</xdr:col>
      <xdr:colOff>94582</xdr:colOff>
      <xdr:row>20</xdr:row>
      <xdr:rowOff>0</xdr:rowOff>
    </xdr:from>
    <xdr:ext cx="184731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16C146B-50F6-4C2B-9AFF-F8A24D14867C}"/>
            </a:ext>
          </a:extLst>
        </xdr:cNvPr>
        <xdr:cNvSpPr txBox="1"/>
      </xdr:nvSpPr>
      <xdr:spPr>
        <a:xfrm>
          <a:off x="4056982" y="6143624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7</xdr:col>
      <xdr:colOff>56482</xdr:colOff>
      <xdr:row>20</xdr:row>
      <xdr:rowOff>0</xdr:rowOff>
    </xdr:from>
    <xdr:ext cx="184731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FED48B3-12C6-4E97-AA99-88EF53728923}"/>
            </a:ext>
          </a:extLst>
        </xdr:cNvPr>
        <xdr:cNvSpPr txBox="1"/>
      </xdr:nvSpPr>
      <xdr:spPr>
        <a:xfrm>
          <a:off x="4666582" y="5667374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6</xdr:col>
      <xdr:colOff>438150</xdr:colOff>
      <xdr:row>21</xdr:row>
      <xdr:rowOff>171450</xdr:rowOff>
    </xdr:from>
    <xdr:ext cx="184731" cy="37414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1117841-471F-4C92-A89D-D301F551FE80}"/>
            </a:ext>
          </a:extLst>
        </xdr:cNvPr>
        <xdr:cNvSpPr txBox="1"/>
      </xdr:nvSpPr>
      <xdr:spPr>
        <a:xfrm>
          <a:off x="4400550" y="6562725"/>
          <a:ext cx="184731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800" b="1">
            <a:solidFill>
              <a:srgbClr val="FF0000"/>
            </a:solidFill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19051</xdr:colOff>
      <xdr:row>9</xdr:row>
      <xdr:rowOff>28577</xdr:rowOff>
    </xdr:from>
    <xdr:ext cx="5663027" cy="3838574"/>
    <xdr:pic>
      <xdr:nvPicPr>
        <xdr:cNvPr id="2" name="Picture 1">
          <a:extLst>
            <a:ext uri="{FF2B5EF4-FFF2-40B4-BE49-F238E27FC236}">
              <a16:creationId xmlns:a16="http://schemas.microsoft.com/office/drawing/2014/main" id="{E83D7B33-3A51-4ACB-A609-6233191881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2381252"/>
          <a:ext cx="5663027" cy="3838574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38</xdr:row>
      <xdr:rowOff>10219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D2A419A-8E1B-4879-BF1A-E6405F58F781}"/>
            </a:ext>
          </a:extLst>
        </xdr:cNvPr>
        <xdr:cNvSpPr txBox="1"/>
      </xdr:nvSpPr>
      <xdr:spPr>
        <a:xfrm>
          <a:off x="10201275" y="72492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 b="1">
            <a:solidFill>
              <a:srgbClr val="00B050"/>
            </a:solidFill>
          </a:endParaRPr>
        </a:p>
      </xdr:txBody>
    </xdr:sp>
    <xdr:clientData/>
  </xdr:oneCellAnchor>
  <xdr:oneCellAnchor>
    <xdr:from>
      <xdr:col>17</xdr:col>
      <xdr:colOff>0</xdr:colOff>
      <xdr:row>31</xdr:row>
      <xdr:rowOff>47649</xdr:rowOff>
    </xdr:from>
    <xdr:ext cx="184731" cy="34278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75B3B50-CD17-4A33-BBBE-67E7CD9A18B3}"/>
            </a:ext>
          </a:extLst>
        </xdr:cNvPr>
        <xdr:cNvSpPr txBox="1"/>
      </xdr:nvSpPr>
      <xdr:spPr>
        <a:xfrm>
          <a:off x="10201275" y="59531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17</xdr:col>
      <xdr:colOff>0</xdr:colOff>
      <xdr:row>48</xdr:row>
      <xdr:rowOff>68706</xdr:rowOff>
    </xdr:from>
    <xdr:ext cx="184731" cy="342786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4DBC3C-8E45-4775-A76B-E826B3BD3BC5}"/>
            </a:ext>
          </a:extLst>
        </xdr:cNvPr>
        <xdr:cNvSpPr txBox="1"/>
      </xdr:nvSpPr>
      <xdr:spPr>
        <a:xfrm>
          <a:off x="10201275" y="9212706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17</xdr:col>
      <xdr:colOff>0</xdr:colOff>
      <xdr:row>31</xdr:row>
      <xdr:rowOff>37290</xdr:rowOff>
    </xdr:from>
    <xdr:ext cx="184731" cy="34278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86660DD-4FFC-4FCF-917C-31BE9256858A}"/>
            </a:ext>
          </a:extLst>
        </xdr:cNvPr>
        <xdr:cNvSpPr txBox="1"/>
      </xdr:nvSpPr>
      <xdr:spPr>
        <a:xfrm>
          <a:off x="10201275" y="594279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17</xdr:col>
      <xdr:colOff>0</xdr:colOff>
      <xdr:row>29</xdr:row>
      <xdr:rowOff>30940</xdr:rowOff>
    </xdr:from>
    <xdr:ext cx="184731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F4802C-A359-48A5-A508-662038CB7C88}"/>
            </a:ext>
          </a:extLst>
        </xdr:cNvPr>
        <xdr:cNvSpPr txBox="1"/>
      </xdr:nvSpPr>
      <xdr:spPr>
        <a:xfrm>
          <a:off x="10201275" y="555544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4</xdr:col>
      <xdr:colOff>49631</xdr:colOff>
      <xdr:row>9</xdr:row>
      <xdr:rowOff>91741</xdr:rowOff>
    </xdr:from>
    <xdr:ext cx="184731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A3B8A26-7AB0-4193-B4BA-C2000ED1D235}"/>
            </a:ext>
          </a:extLst>
        </xdr:cNvPr>
        <xdr:cNvSpPr txBox="1"/>
      </xdr:nvSpPr>
      <xdr:spPr>
        <a:xfrm>
          <a:off x="2449931" y="1806241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1</xdr:col>
      <xdr:colOff>275056</xdr:colOff>
      <xdr:row>17</xdr:row>
      <xdr:rowOff>2172</xdr:rowOff>
    </xdr:from>
    <xdr:ext cx="184731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5D164BF-B338-47C1-95CD-BEA67DE59140}"/>
            </a:ext>
          </a:extLst>
        </xdr:cNvPr>
        <xdr:cNvSpPr txBox="1"/>
      </xdr:nvSpPr>
      <xdr:spPr>
        <a:xfrm>
          <a:off x="875131" y="324067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15</xdr:col>
      <xdr:colOff>234449</xdr:colOff>
      <xdr:row>16</xdr:row>
      <xdr:rowOff>219577</xdr:rowOff>
    </xdr:from>
    <xdr:ext cx="184731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020500D-B381-47A9-BA5C-6A6188F7DE58}"/>
            </a:ext>
          </a:extLst>
        </xdr:cNvPr>
        <xdr:cNvSpPr txBox="1"/>
      </xdr:nvSpPr>
      <xdr:spPr>
        <a:xfrm>
          <a:off x="9235574" y="323900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7</xdr:col>
      <xdr:colOff>94582</xdr:colOff>
      <xdr:row>18</xdr:row>
      <xdr:rowOff>247649</xdr:rowOff>
    </xdr:from>
    <xdr:ext cx="184731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67CC6B9-F2A2-4AC9-826B-76ECD778F0F8}"/>
            </a:ext>
          </a:extLst>
        </xdr:cNvPr>
        <xdr:cNvSpPr txBox="1"/>
      </xdr:nvSpPr>
      <xdr:spPr>
        <a:xfrm>
          <a:off x="4295107" y="361949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8</xdr:col>
      <xdr:colOff>56482</xdr:colOff>
      <xdr:row>17</xdr:row>
      <xdr:rowOff>19049</xdr:rowOff>
    </xdr:from>
    <xdr:ext cx="184731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7FEBEF7-406E-48B1-8FAD-63B3E49FDB56}"/>
            </a:ext>
          </a:extLst>
        </xdr:cNvPr>
        <xdr:cNvSpPr txBox="1"/>
      </xdr:nvSpPr>
      <xdr:spPr>
        <a:xfrm>
          <a:off x="4857082" y="32575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7</xdr:col>
      <xdr:colOff>438150</xdr:colOff>
      <xdr:row>20</xdr:row>
      <xdr:rowOff>171450</xdr:rowOff>
    </xdr:from>
    <xdr:ext cx="184731" cy="37414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AB8BA38-5D8A-4987-A091-EFEF571C10B7}"/>
            </a:ext>
          </a:extLst>
        </xdr:cNvPr>
        <xdr:cNvSpPr txBox="1"/>
      </xdr:nvSpPr>
      <xdr:spPr>
        <a:xfrm>
          <a:off x="4638675" y="3981450"/>
          <a:ext cx="184731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800" b="1">
            <a:solidFill>
              <a:srgbClr val="FF0000"/>
            </a:solidFill>
          </a:endParaRPr>
        </a:p>
      </xdr:txBody>
    </xdr:sp>
    <xdr:clientData/>
  </xdr:oneCellAnchor>
  <xdr:oneCellAnchor>
    <xdr:from>
      <xdr:col>3</xdr:col>
      <xdr:colOff>428625</xdr:colOff>
      <xdr:row>9</xdr:row>
      <xdr:rowOff>238125</xdr:rowOff>
    </xdr:from>
    <xdr:ext cx="293478" cy="311496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9B903E-44FF-45B7-817A-44CC6EF10D5E}"/>
            </a:ext>
          </a:extLst>
        </xdr:cNvPr>
        <xdr:cNvSpPr txBox="1"/>
      </xdr:nvSpPr>
      <xdr:spPr>
        <a:xfrm>
          <a:off x="2228850" y="1905000"/>
          <a:ext cx="29347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 b="1">
              <a:solidFill>
                <a:srgbClr val="FF0000"/>
              </a:solidFill>
            </a:rPr>
            <a:t>A</a:t>
          </a:r>
        </a:p>
      </xdr:txBody>
    </xdr:sp>
    <xdr:clientData/>
  </xdr:oneCellAnchor>
  <xdr:oneCellAnchor>
    <xdr:from>
      <xdr:col>4</xdr:col>
      <xdr:colOff>0</xdr:colOff>
      <xdr:row>23</xdr:row>
      <xdr:rowOff>66675</xdr:rowOff>
    </xdr:from>
    <xdr:ext cx="285335" cy="311496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A9F24A2-22EE-4AC0-8E08-B88C734ED7D1}"/>
            </a:ext>
          </a:extLst>
        </xdr:cNvPr>
        <xdr:cNvSpPr txBox="1"/>
      </xdr:nvSpPr>
      <xdr:spPr>
        <a:xfrm>
          <a:off x="2400300" y="4448175"/>
          <a:ext cx="28533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 b="1">
              <a:solidFill>
                <a:srgbClr val="FF0000"/>
              </a:solidFill>
            </a:rPr>
            <a:t>B</a:t>
          </a:r>
        </a:p>
      </xdr:txBody>
    </xdr:sp>
    <xdr:clientData/>
  </xdr:oneCellAnchor>
  <xdr:oneCellAnchor>
    <xdr:from>
      <xdr:col>7</xdr:col>
      <xdr:colOff>571500</xdr:colOff>
      <xdr:row>21</xdr:row>
      <xdr:rowOff>200025</xdr:rowOff>
    </xdr:from>
    <xdr:ext cx="279692" cy="311496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8BAF9145-F0BE-4143-96AF-44752427F767}"/>
            </a:ext>
          </a:extLst>
        </xdr:cNvPr>
        <xdr:cNvSpPr txBox="1"/>
      </xdr:nvSpPr>
      <xdr:spPr>
        <a:xfrm>
          <a:off x="4772025" y="4191000"/>
          <a:ext cx="27969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 b="1">
              <a:solidFill>
                <a:srgbClr val="FF0000"/>
              </a:solidFill>
            </a:rPr>
            <a:t>C</a:t>
          </a:r>
        </a:p>
      </xdr:txBody>
    </xdr:sp>
    <xdr:clientData/>
  </xdr:oneCellAnchor>
  <xdr:oneCellAnchor>
    <xdr:from>
      <xdr:col>13</xdr:col>
      <xdr:colOff>400050</xdr:colOff>
      <xdr:row>20</xdr:row>
      <xdr:rowOff>38100</xdr:rowOff>
    </xdr:from>
    <xdr:ext cx="1305107" cy="876422"/>
    <xdr:pic>
      <xdr:nvPicPr>
        <xdr:cNvPr id="17" name="Picture 16">
          <a:extLst>
            <a:ext uri="{FF2B5EF4-FFF2-40B4-BE49-F238E27FC236}">
              <a16:creationId xmlns:a16="http://schemas.microsoft.com/office/drawing/2014/main" id="{CF7F77B4-0270-4545-AF2B-61DBDA00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1025" y="3848100"/>
          <a:ext cx="1305107" cy="8764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oneCellAnchor>
  <xdr:oneCellAnchor>
    <xdr:from>
      <xdr:col>12</xdr:col>
      <xdr:colOff>542924</xdr:colOff>
      <xdr:row>24</xdr:row>
      <xdr:rowOff>47626</xdr:rowOff>
    </xdr:from>
    <xdr:ext cx="1743075" cy="217168"/>
    <xdr:pic>
      <xdr:nvPicPr>
        <xdr:cNvPr id="18" name="Picture 17">
          <a:extLst>
            <a:ext uri="{FF2B5EF4-FFF2-40B4-BE49-F238E27FC236}">
              <a16:creationId xmlns:a16="http://schemas.microsoft.com/office/drawing/2014/main" id="{C56E99AF-423E-49FF-96F2-EF3B3C8938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30029" t="-11110" r="9584" b="-15543"/>
        <a:stretch>
          <a:fillRect/>
        </a:stretch>
      </xdr:blipFill>
      <xdr:spPr>
        <a:xfrm>
          <a:off x="7743824" y="4619626"/>
          <a:ext cx="1743075" cy="217168"/>
        </a:xfrm>
        <a:prstGeom prst="rect">
          <a:avLst/>
        </a:prstGeom>
        <a:ln>
          <a:solidFill>
            <a:schemeClr val="tx1"/>
          </a:solidFill>
        </a:ln>
      </xdr:spPr>
    </xdr:pic>
    <xdr:clientData/>
  </xdr:oneCellAnchor>
  <xdr:oneCellAnchor>
    <xdr:from>
      <xdr:col>12</xdr:col>
      <xdr:colOff>171450</xdr:colOff>
      <xdr:row>9</xdr:row>
      <xdr:rowOff>76200</xdr:rowOff>
    </xdr:from>
    <xdr:ext cx="2065694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B21E5B6-E447-4422-937A-7A08F6EB96BF}"/>
            </a:ext>
          </a:extLst>
        </xdr:cNvPr>
        <xdr:cNvSpPr txBox="1"/>
      </xdr:nvSpPr>
      <xdr:spPr>
        <a:xfrm>
          <a:off x="7372350" y="1790700"/>
          <a:ext cx="2065694" cy="264560"/>
        </a:xfrm>
        <a:prstGeom prst="rect">
          <a:avLst/>
        </a:prstGeom>
        <a:noFill/>
        <a:ln>
          <a:solidFill>
            <a:srgbClr val="06986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69860"/>
              </a:solidFill>
            </a:rPr>
            <a:t>Note:</a:t>
          </a:r>
          <a:r>
            <a:rPr lang="en-US" sz="1100" baseline="0">
              <a:solidFill>
                <a:srgbClr val="069860"/>
              </a:solidFill>
            </a:rPr>
            <a:t> No. 1 is customer's sample</a:t>
          </a:r>
          <a:endParaRPr lang="en-US" sz="1100">
            <a:solidFill>
              <a:srgbClr val="069860"/>
            </a:solidFill>
          </a:endParaRPr>
        </a:p>
      </xdr:txBody>
    </xdr:sp>
    <xdr:clientData/>
  </xdr:oneCellAnchor>
  <xdr:oneCellAnchor>
    <xdr:from>
      <xdr:col>12</xdr:col>
      <xdr:colOff>219075</xdr:colOff>
      <xdr:row>23</xdr:row>
      <xdr:rowOff>133350</xdr:rowOff>
    </xdr:from>
    <xdr:ext cx="297838" cy="31149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DB9A344-E438-4E02-99E2-51858CAAD290}"/>
            </a:ext>
          </a:extLst>
        </xdr:cNvPr>
        <xdr:cNvSpPr txBox="1"/>
      </xdr:nvSpPr>
      <xdr:spPr>
        <a:xfrm>
          <a:off x="7419975" y="4514850"/>
          <a:ext cx="29783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 b="1">
              <a:solidFill>
                <a:srgbClr val="FF0000"/>
              </a:solidFill>
            </a:rPr>
            <a:t>D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黄绿色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ADCD-444B-4C0C-9636-3C19BFD803B0}">
  <dimension ref="A1:AA39"/>
  <sheetViews>
    <sheetView zoomScaleNormal="100" workbookViewId="0">
      <selection activeCell="E23" sqref="E23"/>
    </sheetView>
  </sheetViews>
  <sheetFormatPr defaultColWidth="9" defaultRowHeight="12"/>
  <cols>
    <col min="1" max="1" width="4.85546875" style="17" customWidth="1"/>
    <col min="2" max="2" width="11.7109375" style="26" customWidth="1"/>
    <col min="3" max="3" width="9.7109375" style="26" customWidth="1"/>
    <col min="4" max="5" width="11.7109375" style="17" customWidth="1"/>
    <col min="6" max="7" width="9.7109375" style="17" customWidth="1"/>
    <col min="8" max="8" width="11.7109375" style="17" customWidth="1"/>
    <col min="9" max="13" width="9.7109375" style="17" customWidth="1"/>
    <col min="14" max="16384" width="9" style="17"/>
  </cols>
  <sheetData>
    <row r="1" spans="1:27" ht="42" customHeight="1">
      <c r="A1" s="70" t="s">
        <v>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22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9"/>
    </row>
    <row r="2" spans="1:27" ht="26.45" customHeight="1">
      <c r="A2" s="36" t="s">
        <v>3</v>
      </c>
      <c r="B2" s="18"/>
      <c r="C2" s="18"/>
      <c r="D2" s="19"/>
      <c r="E2" s="19"/>
      <c r="F2" s="19"/>
      <c r="G2" s="19"/>
      <c r="H2" s="19"/>
      <c r="I2" s="32" t="s">
        <v>43</v>
      </c>
      <c r="J2" s="31"/>
      <c r="K2" s="29" t="s">
        <v>41</v>
      </c>
      <c r="L2" s="32"/>
      <c r="M2" s="33"/>
      <c r="N2" s="50"/>
      <c r="AA2" s="51"/>
    </row>
    <row r="3" spans="1:27" ht="26.45" customHeight="1">
      <c r="A3" s="35" t="s">
        <v>40</v>
      </c>
      <c r="B3" s="18"/>
      <c r="C3" s="18"/>
      <c r="D3" s="19"/>
      <c r="E3" s="19"/>
      <c r="F3" s="19"/>
      <c r="G3" s="19"/>
      <c r="H3" s="19"/>
      <c r="I3" s="19"/>
      <c r="J3" s="19"/>
      <c r="K3" s="30" t="s">
        <v>42</v>
      </c>
      <c r="L3" s="32"/>
      <c r="M3" s="34"/>
      <c r="N3" s="50"/>
      <c r="AA3" s="51"/>
    </row>
    <row r="4" spans="1:27" ht="26.45" customHeight="1">
      <c r="B4" s="19"/>
      <c r="C4" s="37"/>
      <c r="D4" s="37"/>
      <c r="E4" s="19"/>
      <c r="F4" s="19"/>
      <c r="G4" s="19"/>
      <c r="H4" s="19"/>
      <c r="I4" s="19"/>
      <c r="J4" s="19"/>
      <c r="K4" s="31" t="s">
        <v>39</v>
      </c>
      <c r="L4" s="32"/>
      <c r="M4" s="34"/>
      <c r="N4" s="50"/>
      <c r="AA4" s="51"/>
    </row>
    <row r="5" spans="1:27" ht="26.45" customHeight="1">
      <c r="A5" s="20"/>
      <c r="B5" s="18"/>
      <c r="C5" s="18"/>
      <c r="D5" s="19"/>
      <c r="E5" s="19"/>
      <c r="F5" s="19"/>
      <c r="G5" s="19"/>
      <c r="H5" s="19"/>
      <c r="I5" s="19"/>
      <c r="J5" s="19"/>
      <c r="K5" s="19"/>
      <c r="N5" s="50"/>
      <c r="AA5" s="51"/>
    </row>
    <row r="6" spans="1:27" ht="24.95" customHeight="1">
      <c r="A6" s="38" t="s">
        <v>18</v>
      </c>
      <c r="B6" s="39" t="s">
        <v>19</v>
      </c>
      <c r="C6" s="39" t="s">
        <v>20</v>
      </c>
      <c r="D6" s="40" t="s">
        <v>37</v>
      </c>
      <c r="E6" s="40" t="s">
        <v>38</v>
      </c>
      <c r="F6" s="41" t="s">
        <v>21</v>
      </c>
      <c r="G6" s="41" t="s">
        <v>22</v>
      </c>
      <c r="H6" s="41" t="s">
        <v>23</v>
      </c>
      <c r="I6" s="41" t="s">
        <v>24</v>
      </c>
      <c r="J6" s="41" t="s">
        <v>25</v>
      </c>
      <c r="K6" s="41" t="s">
        <v>26</v>
      </c>
      <c r="L6" s="41" t="s">
        <v>27</v>
      </c>
      <c r="M6" s="38" t="s">
        <v>28</v>
      </c>
      <c r="N6" s="52"/>
      <c r="AA6" s="51"/>
    </row>
    <row r="7" spans="1:27" ht="20.100000000000001" customHeight="1">
      <c r="A7" s="42" t="s">
        <v>0</v>
      </c>
      <c r="B7" s="21"/>
      <c r="C7" s="46"/>
      <c r="D7" s="45"/>
      <c r="E7" s="43"/>
      <c r="F7" s="43">
        <v>0.14000000000000001</v>
      </c>
      <c r="G7" s="43">
        <v>0.12</v>
      </c>
      <c r="H7" s="23"/>
      <c r="I7" s="43">
        <f>Measurement!C4</f>
        <v>0.12540000000000001</v>
      </c>
      <c r="J7" s="43">
        <f>Measurement!C5</f>
        <v>0.1221</v>
      </c>
      <c r="K7" s="43">
        <f>Measurement!C6</f>
        <v>0.1236</v>
      </c>
      <c r="L7" s="43">
        <f>Measurement!C7</f>
        <v>0</v>
      </c>
      <c r="M7" s="44">
        <f>Measurement!C8</f>
        <v>0</v>
      </c>
      <c r="N7" s="50"/>
      <c r="AA7" s="51"/>
    </row>
    <row r="8" spans="1:27" ht="20.100000000000001" customHeight="1">
      <c r="A8" s="42" t="s">
        <v>1</v>
      </c>
      <c r="B8" s="21"/>
      <c r="C8" s="47"/>
      <c r="D8" s="45"/>
      <c r="E8" s="45"/>
      <c r="F8" s="43"/>
      <c r="G8" s="43"/>
      <c r="H8" s="23"/>
      <c r="I8" s="43">
        <f>Measurement!D4</f>
        <v>2.4889000000000001</v>
      </c>
      <c r="J8" s="43">
        <f>Measurement!D5</f>
        <v>2.4861</v>
      </c>
      <c r="K8" s="43">
        <f>Measurement!D6</f>
        <v>2.4988999999999999</v>
      </c>
      <c r="L8" s="43">
        <f>Measurement!D7</f>
        <v>0</v>
      </c>
      <c r="M8" s="44">
        <f>Measurement!D8</f>
        <v>0</v>
      </c>
      <c r="N8" s="50"/>
      <c r="AA8" s="51"/>
    </row>
    <row r="9" spans="1:27" ht="20.100000000000001" customHeight="1">
      <c r="A9" s="42" t="s">
        <v>6</v>
      </c>
      <c r="B9" s="21"/>
      <c r="C9" s="47"/>
      <c r="D9" s="45"/>
      <c r="E9" s="45"/>
      <c r="F9" s="43"/>
      <c r="G9" s="43"/>
      <c r="H9" s="23"/>
      <c r="I9" s="43">
        <f>Measurement!E4</f>
        <v>2.4963000000000002</v>
      </c>
      <c r="J9" s="43">
        <f>Measurement!E5</f>
        <v>2.496</v>
      </c>
      <c r="K9" s="43">
        <f>Measurement!E6</f>
        <v>2.4973000000000001</v>
      </c>
      <c r="L9" s="43">
        <f>Measurement!E7</f>
        <v>0</v>
      </c>
      <c r="M9" s="44">
        <f>Measurement!E8</f>
        <v>0</v>
      </c>
      <c r="N9" s="50"/>
      <c r="AA9" s="51"/>
    </row>
    <row r="10" spans="1:27" ht="20.100000000000001" customHeight="1">
      <c r="A10" s="42" t="s">
        <v>8</v>
      </c>
      <c r="B10" s="21"/>
      <c r="C10" s="47"/>
      <c r="D10" s="45"/>
      <c r="E10" s="45"/>
      <c r="F10" s="43"/>
      <c r="G10" s="43"/>
      <c r="H10" s="23"/>
      <c r="I10" s="43">
        <f>Measurement!F4</f>
        <v>0.1308</v>
      </c>
      <c r="J10" s="43">
        <f>Measurement!F5</f>
        <v>0.12479999999999999</v>
      </c>
      <c r="K10" s="43">
        <f>Measurement!F6</f>
        <v>0.12920000000000001</v>
      </c>
      <c r="L10" s="43">
        <f>Measurement!F7</f>
        <v>0</v>
      </c>
      <c r="M10" s="44">
        <f>Measurement!F8</f>
        <v>0</v>
      </c>
      <c r="N10" s="50"/>
      <c r="AA10" s="51"/>
    </row>
    <row r="11" spans="1:27" ht="20.100000000000001" customHeight="1">
      <c r="A11" s="42" t="s">
        <v>9</v>
      </c>
      <c r="B11" s="21"/>
      <c r="C11" s="44"/>
      <c r="D11" s="44"/>
      <c r="E11" s="44"/>
      <c r="F11" s="43"/>
      <c r="G11" s="43"/>
      <c r="H11" s="23"/>
      <c r="I11" s="43">
        <f>Measurement!G4</f>
        <v>4.9768999999999997</v>
      </c>
      <c r="J11" s="43">
        <f>Measurement!G5</f>
        <v>4.9854000000000003</v>
      </c>
      <c r="K11" s="43">
        <f>Measurement!G6</f>
        <v>4.9912999999999998</v>
      </c>
      <c r="L11" s="43">
        <f>Measurement!G7</f>
        <v>0</v>
      </c>
      <c r="M11" s="44">
        <f>Measurement!G8</f>
        <v>0</v>
      </c>
      <c r="N11" s="50"/>
      <c r="AA11" s="51"/>
    </row>
    <row r="12" spans="1:27" ht="20.100000000000001" customHeight="1">
      <c r="A12" s="42" t="s">
        <v>10</v>
      </c>
      <c r="B12" s="21"/>
      <c r="C12" s="46"/>
      <c r="D12" s="45"/>
      <c r="E12" s="43"/>
      <c r="F12" s="43"/>
      <c r="G12" s="43"/>
      <c r="H12" s="23"/>
      <c r="I12" s="43">
        <f>Measurement!H4</f>
        <v>4.9935</v>
      </c>
      <c r="J12" s="43">
        <f>Measurement!H5</f>
        <v>4.9988000000000001</v>
      </c>
      <c r="K12" s="43">
        <f>Measurement!H6</f>
        <v>4.9901</v>
      </c>
      <c r="L12" s="43">
        <f>Measurement!H7</f>
        <v>0</v>
      </c>
      <c r="M12" s="44">
        <f>Measurement!H8</f>
        <v>0</v>
      </c>
      <c r="N12" s="50"/>
      <c r="AA12" s="51"/>
    </row>
    <row r="13" spans="1:27" ht="20.100000000000001" customHeight="1">
      <c r="A13" s="42" t="s">
        <v>11</v>
      </c>
      <c r="B13" s="21"/>
      <c r="C13" s="47"/>
      <c r="D13" s="45"/>
      <c r="E13" s="45"/>
      <c r="F13" s="43"/>
      <c r="G13" s="43"/>
      <c r="H13" s="23"/>
      <c r="I13" s="43">
        <f>Measurement!I4</f>
        <v>2.4946000000000002</v>
      </c>
      <c r="J13" s="43">
        <f>Measurement!I5</f>
        <v>2.4921000000000002</v>
      </c>
      <c r="K13" s="43">
        <f>Measurement!I6</f>
        <v>2.5049000000000001</v>
      </c>
      <c r="L13" s="43">
        <f>Measurement!I7</f>
        <v>0</v>
      </c>
      <c r="M13" s="44">
        <f>Measurement!I8</f>
        <v>0</v>
      </c>
      <c r="N13" s="50"/>
      <c r="AA13" s="51"/>
    </row>
    <row r="14" spans="1:27" ht="20.100000000000001" customHeight="1">
      <c r="A14" s="42" t="s">
        <v>12</v>
      </c>
      <c r="B14" s="21"/>
      <c r="C14" s="47"/>
      <c r="D14" s="45"/>
      <c r="E14" s="45"/>
      <c r="F14" s="43"/>
      <c r="G14" s="43"/>
      <c r="H14" s="23"/>
      <c r="I14" s="43">
        <f>Measurement!J4</f>
        <v>0.99650000000000005</v>
      </c>
      <c r="J14" s="43">
        <f>Measurement!J5</f>
        <v>0.99650000000000005</v>
      </c>
      <c r="K14" s="43">
        <f>Measurement!J6</f>
        <v>0.99650000000000005</v>
      </c>
      <c r="L14" s="43">
        <f>Measurement!J7</f>
        <v>0</v>
      </c>
      <c r="M14" s="44">
        <f>Measurement!J8</f>
        <v>0</v>
      </c>
      <c r="N14" s="50" t="s">
        <v>5</v>
      </c>
      <c r="AA14" s="51"/>
    </row>
    <row r="15" spans="1:27" ht="20.100000000000001" customHeight="1">
      <c r="A15" s="42" t="s">
        <v>13</v>
      </c>
      <c r="B15" s="21"/>
      <c r="C15" s="47"/>
      <c r="D15" s="45"/>
      <c r="E15" s="45"/>
      <c r="F15" s="43"/>
      <c r="G15" s="43"/>
      <c r="H15" s="23"/>
      <c r="I15" s="43">
        <f>Measurement!K4</f>
        <v>0.99650000000000005</v>
      </c>
      <c r="J15" s="43">
        <f>Measurement!K5</f>
        <v>0.99650000000000005</v>
      </c>
      <c r="K15" s="43">
        <f>Measurement!K6</f>
        <v>0.99650000000000005</v>
      </c>
      <c r="L15" s="43">
        <f>Measurement!K7</f>
        <v>0</v>
      </c>
      <c r="M15" s="44">
        <f>Measurement!K8</f>
        <v>0</v>
      </c>
      <c r="N15" s="50"/>
      <c r="AA15" s="51"/>
    </row>
    <row r="16" spans="1:27" ht="20.100000000000001" customHeight="1">
      <c r="A16" s="42" t="s">
        <v>14</v>
      </c>
      <c r="B16" s="21"/>
      <c r="C16" s="44"/>
      <c r="D16" s="44"/>
      <c r="E16" s="44"/>
      <c r="F16" s="43"/>
      <c r="G16" s="43"/>
      <c r="H16" s="23"/>
      <c r="I16" s="43">
        <f>Measurement!L4</f>
        <v>0.99650000000000005</v>
      </c>
      <c r="J16" s="43">
        <f>Measurement!L5</f>
        <v>0.99650000000000005</v>
      </c>
      <c r="K16" s="43">
        <f>Measurement!L6</f>
        <v>0.99650000000000005</v>
      </c>
      <c r="L16" s="43">
        <f>Measurement!L7</f>
        <v>0</v>
      </c>
      <c r="M16" s="44">
        <f>Measurement!L8</f>
        <v>0</v>
      </c>
      <c r="N16" s="50"/>
      <c r="AA16" s="51"/>
    </row>
    <row r="17" spans="1:27" ht="20.100000000000001" customHeight="1">
      <c r="A17" s="42" t="s">
        <v>15</v>
      </c>
      <c r="B17" s="21"/>
      <c r="C17" s="46"/>
      <c r="D17" s="45"/>
      <c r="E17" s="43"/>
      <c r="F17" s="43"/>
      <c r="G17" s="43"/>
      <c r="H17" s="23"/>
      <c r="I17" s="43">
        <f>Measurement!M4</f>
        <v>0.99650000000000005</v>
      </c>
      <c r="J17" s="43">
        <f>Measurement!M5</f>
        <v>0.99650000000000005</v>
      </c>
      <c r="K17" s="43">
        <f>Measurement!M6</f>
        <v>0.99650000000000005</v>
      </c>
      <c r="L17" s="43">
        <f>Measurement!M7</f>
        <v>0</v>
      </c>
      <c r="M17" s="44">
        <f>Measurement!M8</f>
        <v>0</v>
      </c>
      <c r="N17" s="50"/>
      <c r="AA17" s="51"/>
    </row>
    <row r="18" spans="1:27" ht="20.100000000000001" customHeight="1">
      <c r="A18" s="42" t="s">
        <v>16</v>
      </c>
      <c r="B18" s="21"/>
      <c r="C18" s="47"/>
      <c r="D18" s="45"/>
      <c r="E18" s="45"/>
      <c r="F18" s="43"/>
      <c r="G18" s="43"/>
      <c r="H18" s="23"/>
      <c r="I18" s="43">
        <f>Measurement!N4</f>
        <v>0.13120000000000001</v>
      </c>
      <c r="J18" s="43">
        <f>Measurement!N5</f>
        <v>0.1313</v>
      </c>
      <c r="K18" s="43">
        <f>Measurement!N6</f>
        <v>0.12970000000000001</v>
      </c>
      <c r="L18" s="43">
        <f>Measurement!N7</f>
        <v>0</v>
      </c>
      <c r="M18" s="44">
        <f>Measurement!N8</f>
        <v>0</v>
      </c>
      <c r="N18" s="50"/>
      <c r="AA18" s="51"/>
    </row>
    <row r="19" spans="1:27" ht="20.100000000000001" customHeight="1">
      <c r="A19" s="42" t="s">
        <v>17</v>
      </c>
      <c r="B19" s="21"/>
      <c r="C19" s="47"/>
      <c r="D19" s="45"/>
      <c r="E19" s="45"/>
      <c r="F19" s="43"/>
      <c r="G19" s="43"/>
      <c r="H19" s="23"/>
      <c r="I19" s="43">
        <f>Measurement!O4</f>
        <v>6.25E-2</v>
      </c>
      <c r="J19" s="43">
        <f>Measurement!O5</f>
        <v>6.1800000000000001E-2</v>
      </c>
      <c r="K19" s="43">
        <f>Measurement!O6</f>
        <v>6.4500000000000002E-2</v>
      </c>
      <c r="L19" s="43">
        <f>Measurement!O7</f>
        <v>0</v>
      </c>
      <c r="M19" s="44">
        <f>Measurement!O8</f>
        <v>0</v>
      </c>
      <c r="N19" s="50"/>
      <c r="AA19" s="51"/>
    </row>
    <row r="20" spans="1:27" ht="20.100000000000001" customHeight="1">
      <c r="A20" s="42" t="s">
        <v>47</v>
      </c>
      <c r="B20" s="21"/>
      <c r="C20" s="47"/>
      <c r="D20" s="45"/>
      <c r="E20" s="45"/>
      <c r="F20" s="43"/>
      <c r="G20" s="43"/>
      <c r="H20" s="23"/>
      <c r="I20" s="43">
        <f>Measurement!P4</f>
        <v>0.13020000000000001</v>
      </c>
      <c r="J20" s="43">
        <f>Measurement!P5</f>
        <v>0.1295</v>
      </c>
      <c r="K20" s="43">
        <f>Measurement!P6</f>
        <v>0.13420000000000001</v>
      </c>
      <c r="L20" s="43">
        <f>Measurement!P7</f>
        <v>0</v>
      </c>
      <c r="M20" s="44">
        <f>Measurement!P8</f>
        <v>0</v>
      </c>
      <c r="N20" s="50"/>
      <c r="AA20" s="51"/>
    </row>
    <row r="21" spans="1:27" ht="20.100000000000001" customHeight="1">
      <c r="A21" s="42" t="s">
        <v>48</v>
      </c>
      <c r="B21" s="21"/>
      <c r="C21" s="44"/>
      <c r="D21" s="44"/>
      <c r="E21" s="44"/>
      <c r="F21" s="43"/>
      <c r="G21" s="43"/>
      <c r="H21" s="23"/>
      <c r="I21" s="43"/>
      <c r="J21" s="43"/>
      <c r="K21" s="43"/>
      <c r="L21" s="43"/>
      <c r="M21" s="44"/>
      <c r="N21" s="50"/>
      <c r="Q21" s="17" t="s">
        <v>4</v>
      </c>
      <c r="AA21" s="51"/>
    </row>
    <row r="22" spans="1:27" ht="20.100000000000001" customHeight="1">
      <c r="A22" s="42" t="s">
        <v>49</v>
      </c>
      <c r="B22" s="21"/>
      <c r="C22" s="46"/>
      <c r="D22" s="44"/>
      <c r="E22" s="43"/>
      <c r="F22" s="43"/>
      <c r="G22" s="43"/>
      <c r="H22" s="23"/>
      <c r="I22" s="43"/>
      <c r="J22" s="43"/>
      <c r="K22" s="43"/>
      <c r="L22" s="43"/>
      <c r="M22" s="44"/>
      <c r="N22" s="53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5"/>
    </row>
    <row r="23" spans="1:27" ht="20.100000000000001" customHeight="1">
      <c r="A23" s="25"/>
      <c r="B23" s="24"/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</row>
    <row r="24" spans="1:27" ht="20.100000000000001" customHeight="1">
      <c r="A24" s="25"/>
      <c r="B24" s="24"/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</row>
    <row r="25" spans="1:27" ht="20.100000000000001" customHeight="1">
      <c r="A25" s="27"/>
      <c r="B25" s="28"/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27" ht="20.100000000000001" customHeight="1">
      <c r="A26" s="25"/>
      <c r="B26" s="24"/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</row>
    <row r="27" spans="1:27">
      <c r="A27" s="25"/>
      <c r="B27" s="24"/>
      <c r="C27" s="24"/>
      <c r="D27" s="25"/>
      <c r="E27" s="25"/>
      <c r="F27" s="25"/>
      <c r="G27" s="25"/>
      <c r="H27" s="25"/>
      <c r="I27" s="25"/>
      <c r="J27" s="25"/>
      <c r="K27" s="25"/>
      <c r="L27" s="25"/>
      <c r="M27" s="25"/>
    </row>
    <row r="28" spans="1:27">
      <c r="A28" s="25"/>
      <c r="B28" s="24"/>
      <c r="C28" s="24"/>
      <c r="D28" s="25"/>
      <c r="E28" s="25"/>
      <c r="F28" s="25"/>
      <c r="G28" s="25"/>
      <c r="H28" s="25"/>
      <c r="I28" s="25"/>
      <c r="J28" s="25"/>
      <c r="K28" s="25"/>
      <c r="L28" s="25"/>
      <c r="M28" s="25"/>
    </row>
    <row r="29" spans="1:27">
      <c r="A29" s="25"/>
      <c r="B29" s="24"/>
      <c r="C29" s="24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27">
      <c r="A30" s="25"/>
      <c r="B30" s="24"/>
      <c r="C30" s="24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27">
      <c r="A31" s="25"/>
      <c r="B31" s="24"/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27">
      <c r="A32" s="25"/>
      <c r="B32" s="24"/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</row>
    <row r="33" spans="1:13">
      <c r="A33" s="25"/>
      <c r="B33" s="24"/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</row>
    <row r="34" spans="1:13">
      <c r="A34" s="25"/>
      <c r="B34" s="24"/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</row>
    <row r="35" spans="1:13">
      <c r="A35" s="25"/>
      <c r="B35" s="24"/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</row>
    <row r="36" spans="1:13">
      <c r="A36" s="25"/>
      <c r="B36" s="24"/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7" spans="1:13">
      <c r="A37" s="25"/>
      <c r="B37" s="24"/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</row>
    <row r="38" spans="1:13">
      <c r="A38" s="25"/>
      <c r="B38" s="24"/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>
      <c r="A39" s="25"/>
      <c r="B39" s="24"/>
      <c r="C39" s="24"/>
      <c r="D39" s="25"/>
      <c r="E39" s="25"/>
      <c r="F39" s="25"/>
      <c r="G39" s="25"/>
      <c r="H39" s="25"/>
      <c r="I39" s="25"/>
      <c r="J39" s="25"/>
      <c r="K39" s="25"/>
      <c r="L39" s="25"/>
      <c r="M39" s="25"/>
    </row>
  </sheetData>
  <mergeCells count="1">
    <mergeCell ref="A1:M1"/>
  </mergeCells>
  <phoneticPr fontId="13" type="noConversion"/>
  <conditionalFormatting sqref="I7:M22">
    <cfRule type="expression" dxfId="1" priority="1">
      <formula>OR(I7&lt;$G7, I7&gt;$F7)</formula>
    </cfRule>
  </conditionalFormatting>
  <printOptions horizontalCentered="1"/>
  <pageMargins left="0.7" right="0.7" top="0.75" bottom="0.75" header="0.3" footer="0.3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F06296C-3995-469C-B5F9-EAB060CCC964}">
          <x14:formula1>
            <xm:f>Source!$B$2:$B$100</xm:f>
          </x14:formula1>
          <xm:sqref>B7:B22</xm:sqref>
        </x14:dataValidation>
        <x14:dataValidation type="list" allowBlank="1" showInputMessage="1" showErrorMessage="1" xr:uid="{4C67EF38-5D4F-4607-8FE6-56E9A0A76BE2}">
          <x14:formula1>
            <xm:f>Source!$C$2:$C$100</xm:f>
          </x14:formula1>
          <xm:sqref>H7:H22</xm:sqref>
        </x14:dataValidation>
        <x14:dataValidation type="list" allowBlank="1" showInputMessage="1" showErrorMessage="1" xr:uid="{2894C79E-0A44-4C82-95A4-6957BC327C17}">
          <x14:formula1>
            <xm:f>Source!$D$2:$D$100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666A-FEA4-4C81-AF3E-682598246056}">
  <dimension ref="A1:AA100"/>
  <sheetViews>
    <sheetView tabSelected="1" zoomScale="115" zoomScaleNormal="115" workbookViewId="0">
      <selection activeCell="P15" sqref="P15"/>
    </sheetView>
  </sheetViews>
  <sheetFormatPr defaultColWidth="9" defaultRowHeight="11.25"/>
  <cols>
    <col min="1" max="1" width="3.7109375" style="74" customWidth="1"/>
    <col min="2" max="2" width="7.7109375" style="90" customWidth="1"/>
    <col min="3" max="3" width="6.7109375" style="90" customWidth="1"/>
    <col min="4" max="5" width="7.7109375" style="74" customWidth="1"/>
    <col min="6" max="7" width="5.7109375" style="74" customWidth="1"/>
    <col min="8" max="8" width="9.7109375" style="74" customWidth="1"/>
    <col min="9" max="13" width="5.7109375" style="74" customWidth="1"/>
    <col min="14" max="16384" width="9" style="74"/>
  </cols>
  <sheetData>
    <row r="1" spans="1:27" ht="42" customHeight="1">
      <c r="A1" s="95" t="s">
        <v>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71"/>
      <c r="O1" s="72"/>
      <c r="P1" s="72"/>
      <c r="Q1" s="72"/>
      <c r="R1" s="72"/>
      <c r="S1" s="72"/>
      <c r="T1" s="72"/>
      <c r="U1" s="72"/>
      <c r="V1" s="73"/>
      <c r="W1" s="92"/>
      <c r="X1" s="92"/>
      <c r="Y1" s="92"/>
      <c r="Z1" s="92"/>
      <c r="AA1" s="92"/>
    </row>
    <row r="2" spans="1:27" ht="26.45" customHeight="1">
      <c r="A2" s="96" t="s">
        <v>3</v>
      </c>
      <c r="B2" s="97"/>
      <c r="C2" s="97"/>
      <c r="D2" s="92"/>
      <c r="E2" s="92"/>
      <c r="F2" s="92"/>
      <c r="G2" s="92"/>
      <c r="H2" s="92"/>
      <c r="I2" s="92"/>
      <c r="J2" s="100" t="s">
        <v>41</v>
      </c>
      <c r="K2" s="91" t="s">
        <v>51</v>
      </c>
      <c r="L2" s="94"/>
      <c r="M2" s="76"/>
      <c r="N2" s="77"/>
      <c r="O2" s="92"/>
      <c r="P2" s="92"/>
      <c r="Q2" s="92"/>
      <c r="R2" s="92"/>
      <c r="S2" s="92"/>
      <c r="T2" s="92"/>
      <c r="U2" s="92"/>
      <c r="V2" s="78"/>
      <c r="W2" s="92"/>
      <c r="X2" s="92"/>
      <c r="Y2" s="92"/>
      <c r="Z2" s="92"/>
      <c r="AA2" s="92"/>
    </row>
    <row r="3" spans="1:27" ht="26.45" customHeight="1">
      <c r="A3" s="98" t="s">
        <v>40</v>
      </c>
      <c r="B3" s="97"/>
      <c r="C3" s="97"/>
      <c r="D3" s="92"/>
      <c r="E3" s="92"/>
      <c r="F3" s="92"/>
      <c r="G3" s="92"/>
      <c r="H3" s="92"/>
      <c r="I3" s="92"/>
      <c r="J3" s="75" t="s">
        <v>42</v>
      </c>
      <c r="K3" s="91">
        <v>10011</v>
      </c>
      <c r="L3" s="94"/>
      <c r="M3" s="76"/>
      <c r="N3" s="77"/>
      <c r="O3" s="92"/>
      <c r="P3" s="92"/>
      <c r="Q3" s="92"/>
      <c r="R3" s="92"/>
      <c r="S3" s="92"/>
      <c r="T3" s="92"/>
      <c r="U3" s="92"/>
      <c r="V3" s="78"/>
      <c r="W3" s="92"/>
      <c r="X3" s="92"/>
      <c r="Y3" s="92"/>
      <c r="Z3" s="92"/>
      <c r="AA3" s="92"/>
    </row>
    <row r="4" spans="1:27" ht="26.45" customHeight="1">
      <c r="A4" s="92"/>
      <c r="B4" s="92"/>
      <c r="C4" s="99"/>
      <c r="D4" s="99"/>
      <c r="E4" s="92"/>
      <c r="F4" s="92"/>
      <c r="G4" s="92"/>
      <c r="H4" s="92"/>
      <c r="I4" s="92"/>
      <c r="J4" s="75" t="s">
        <v>43</v>
      </c>
      <c r="K4" s="75" t="s">
        <v>45</v>
      </c>
      <c r="L4" s="92"/>
      <c r="M4" s="92"/>
      <c r="N4" s="77"/>
      <c r="O4" s="92"/>
      <c r="P4" s="92"/>
      <c r="Q4" s="92"/>
      <c r="R4" s="92"/>
      <c r="S4" s="92"/>
      <c r="T4" s="92"/>
      <c r="U4" s="92"/>
      <c r="V4" s="78"/>
      <c r="W4" s="92"/>
      <c r="X4" s="92"/>
      <c r="Y4" s="92"/>
      <c r="Z4" s="92"/>
      <c r="AA4" s="92"/>
    </row>
    <row r="5" spans="1:27" ht="26.45" customHeight="1">
      <c r="A5" s="93"/>
      <c r="B5" s="97"/>
      <c r="C5" s="97"/>
      <c r="D5" s="92"/>
      <c r="E5" s="92"/>
      <c r="F5" s="92"/>
      <c r="G5" s="92"/>
      <c r="H5" s="92"/>
      <c r="I5" s="92"/>
      <c r="J5" s="92"/>
      <c r="K5" s="92"/>
      <c r="L5" s="92"/>
      <c r="M5" s="92"/>
      <c r="N5" s="77"/>
      <c r="O5" s="92"/>
      <c r="P5" s="92"/>
      <c r="Q5" s="92"/>
      <c r="R5" s="92"/>
      <c r="S5" s="92"/>
      <c r="T5" s="92"/>
      <c r="U5" s="92"/>
      <c r="V5" s="78"/>
      <c r="W5" s="92"/>
      <c r="X5" s="92"/>
      <c r="Y5" s="92"/>
      <c r="Z5" s="92"/>
      <c r="AA5" s="92"/>
    </row>
    <row r="6" spans="1:27" ht="30" customHeight="1">
      <c r="A6" s="80" t="s">
        <v>18</v>
      </c>
      <c r="B6" s="101" t="s">
        <v>19</v>
      </c>
      <c r="C6" s="101" t="s">
        <v>20</v>
      </c>
      <c r="D6" s="81" t="s">
        <v>37</v>
      </c>
      <c r="E6" s="81" t="s">
        <v>38</v>
      </c>
      <c r="F6" s="80" t="s">
        <v>21</v>
      </c>
      <c r="G6" s="80" t="s">
        <v>22</v>
      </c>
      <c r="H6" s="80" t="s">
        <v>23</v>
      </c>
      <c r="I6" s="80" t="s">
        <v>24</v>
      </c>
      <c r="J6" s="80" t="s">
        <v>25</v>
      </c>
      <c r="K6" s="80" t="s">
        <v>26</v>
      </c>
      <c r="L6" s="80" t="s">
        <v>27</v>
      </c>
      <c r="M6" s="80" t="s">
        <v>28</v>
      </c>
      <c r="N6" s="82"/>
      <c r="O6" s="92"/>
      <c r="P6" s="92"/>
      <c r="Q6" s="92"/>
      <c r="R6" s="92"/>
      <c r="S6" s="92"/>
      <c r="T6" s="92"/>
      <c r="U6" s="92"/>
      <c r="V6" s="78"/>
      <c r="W6" s="92"/>
      <c r="X6" s="92"/>
      <c r="Y6" s="92"/>
      <c r="Z6" s="92"/>
      <c r="AA6" s="92"/>
    </row>
    <row r="7" spans="1:27" ht="20.100000000000001" customHeight="1">
      <c r="A7" s="75" t="s">
        <v>0</v>
      </c>
      <c r="B7" s="102" t="s">
        <v>30</v>
      </c>
      <c r="C7" s="83">
        <v>0.13</v>
      </c>
      <c r="D7" s="83">
        <v>0.01</v>
      </c>
      <c r="E7" s="83">
        <v>0.01</v>
      </c>
      <c r="F7" s="83">
        <f>C7+D7</f>
        <v>0.14000000000000001</v>
      </c>
      <c r="G7" s="83">
        <f>C7-E7</f>
        <v>0.12000000000000001</v>
      </c>
      <c r="H7" s="75" t="s">
        <v>35</v>
      </c>
      <c r="I7" s="83">
        <f>Measurement!C4</f>
        <v>0.12540000000000001</v>
      </c>
      <c r="J7" s="83">
        <f>Measurement!C5</f>
        <v>0.1221</v>
      </c>
      <c r="K7" s="83">
        <f>Measurement!C6</f>
        <v>0.1236</v>
      </c>
      <c r="L7" s="83">
        <f>Measurement!C7</f>
        <v>0</v>
      </c>
      <c r="M7" s="83">
        <f>Measurement!C8</f>
        <v>0</v>
      </c>
      <c r="N7" s="77"/>
      <c r="O7" s="92"/>
      <c r="P7" s="92"/>
      <c r="Q7" s="92"/>
      <c r="R7" s="92"/>
      <c r="S7" s="92"/>
      <c r="T7" s="92"/>
      <c r="U7" s="92"/>
      <c r="V7" s="78"/>
      <c r="W7" s="92"/>
      <c r="X7" s="92"/>
      <c r="Y7" s="92"/>
      <c r="Z7" s="92"/>
      <c r="AA7" s="92"/>
    </row>
    <row r="8" spans="1:27" ht="20.100000000000001" customHeight="1">
      <c r="A8" s="75" t="s">
        <v>1</v>
      </c>
      <c r="B8" s="102" t="s">
        <v>30</v>
      </c>
      <c r="C8" s="83">
        <v>2.5</v>
      </c>
      <c r="D8" s="83">
        <v>0.01</v>
      </c>
      <c r="E8" s="83">
        <v>0.01</v>
      </c>
      <c r="F8" s="83">
        <f t="shared" ref="F8:F20" si="0">C8+D8</f>
        <v>2.5099999999999998</v>
      </c>
      <c r="G8" s="83">
        <f t="shared" ref="G8:G20" si="1">C8-E8</f>
        <v>2.4900000000000002</v>
      </c>
      <c r="H8" s="75" t="s">
        <v>35</v>
      </c>
      <c r="I8" s="83">
        <f>Measurement!D4</f>
        <v>2.4889000000000001</v>
      </c>
      <c r="J8" s="83">
        <f>Measurement!D5</f>
        <v>2.4861</v>
      </c>
      <c r="K8" s="83">
        <f>Measurement!D6</f>
        <v>2.4988999999999999</v>
      </c>
      <c r="L8" s="83">
        <f>Measurement!D7</f>
        <v>0</v>
      </c>
      <c r="M8" s="83">
        <f>Measurement!D8</f>
        <v>0</v>
      </c>
      <c r="N8" s="77"/>
      <c r="O8" s="92"/>
      <c r="P8" s="92"/>
      <c r="Q8" s="92"/>
      <c r="R8" s="92"/>
      <c r="S8" s="92"/>
      <c r="T8" s="92"/>
      <c r="U8" s="92"/>
      <c r="V8" s="78"/>
      <c r="W8" s="92"/>
      <c r="X8" s="92"/>
      <c r="Y8" s="92"/>
      <c r="Z8" s="92"/>
      <c r="AA8" s="92"/>
    </row>
    <row r="9" spans="1:27" ht="20.100000000000001" customHeight="1">
      <c r="A9" s="75" t="s">
        <v>6</v>
      </c>
      <c r="B9" s="102" t="s">
        <v>30</v>
      </c>
      <c r="C9" s="83">
        <v>2.5</v>
      </c>
      <c r="D9" s="83">
        <v>0.01</v>
      </c>
      <c r="E9" s="83">
        <v>0.01</v>
      </c>
      <c r="F9" s="83">
        <f t="shared" si="0"/>
        <v>2.5099999999999998</v>
      </c>
      <c r="G9" s="83">
        <f t="shared" si="1"/>
        <v>2.4900000000000002</v>
      </c>
      <c r="H9" s="75" t="s">
        <v>35</v>
      </c>
      <c r="I9" s="83">
        <f>Measurement!E4</f>
        <v>2.4963000000000002</v>
      </c>
      <c r="J9" s="83">
        <f>Measurement!E5</f>
        <v>2.496</v>
      </c>
      <c r="K9" s="83">
        <f>Measurement!E6</f>
        <v>2.4973000000000001</v>
      </c>
      <c r="L9" s="83">
        <f>Measurement!E7</f>
        <v>0</v>
      </c>
      <c r="M9" s="83">
        <f>Measurement!E8</f>
        <v>0</v>
      </c>
      <c r="N9" s="77"/>
      <c r="O9" s="92"/>
      <c r="P9" s="92"/>
      <c r="Q9" s="92"/>
      <c r="R9" s="92"/>
      <c r="S9" s="92"/>
      <c r="T9" s="92"/>
      <c r="U9" s="92"/>
      <c r="V9" s="78"/>
      <c r="W9" s="92"/>
      <c r="X9" s="92"/>
      <c r="Y9" s="92"/>
      <c r="Z9" s="92"/>
      <c r="AA9" s="92"/>
    </row>
    <row r="10" spans="1:27" ht="20.100000000000001" customHeight="1">
      <c r="A10" s="75" t="s">
        <v>8</v>
      </c>
      <c r="B10" s="102" t="s">
        <v>30</v>
      </c>
      <c r="C10" s="83">
        <v>0.13</v>
      </c>
      <c r="D10" s="83">
        <v>0.01</v>
      </c>
      <c r="E10" s="83">
        <v>0.01</v>
      </c>
      <c r="F10" s="83">
        <f t="shared" si="0"/>
        <v>0.14000000000000001</v>
      </c>
      <c r="G10" s="83">
        <f t="shared" si="1"/>
        <v>0.12000000000000001</v>
      </c>
      <c r="H10" s="75" t="s">
        <v>35</v>
      </c>
      <c r="I10" s="83">
        <f>Measurement!F4</f>
        <v>0.1308</v>
      </c>
      <c r="J10" s="83">
        <f>Measurement!F5</f>
        <v>0.12479999999999999</v>
      </c>
      <c r="K10" s="83">
        <f>Measurement!F6</f>
        <v>0.12920000000000001</v>
      </c>
      <c r="L10" s="83">
        <f>Measurement!F7</f>
        <v>0</v>
      </c>
      <c r="M10" s="83">
        <f>Measurement!F8</f>
        <v>0</v>
      </c>
      <c r="N10" s="77"/>
      <c r="O10" s="92"/>
      <c r="P10" s="92"/>
      <c r="Q10" s="92"/>
      <c r="R10" s="92"/>
      <c r="S10" s="92"/>
      <c r="T10" s="92"/>
      <c r="U10" s="92"/>
      <c r="V10" s="78"/>
      <c r="W10" s="92"/>
      <c r="X10" s="92"/>
      <c r="Y10" s="92"/>
      <c r="Z10" s="92"/>
      <c r="AA10" s="92"/>
    </row>
    <row r="11" spans="1:27" ht="20.100000000000001" customHeight="1">
      <c r="A11" s="75" t="s">
        <v>9</v>
      </c>
      <c r="B11" s="102" t="s">
        <v>30</v>
      </c>
      <c r="C11" s="83">
        <v>5</v>
      </c>
      <c r="D11" s="83">
        <v>0.01</v>
      </c>
      <c r="E11" s="83">
        <v>0.01</v>
      </c>
      <c r="F11" s="83">
        <f t="shared" si="0"/>
        <v>5.01</v>
      </c>
      <c r="G11" s="83">
        <f t="shared" si="1"/>
        <v>4.99</v>
      </c>
      <c r="H11" s="75" t="s">
        <v>35</v>
      </c>
      <c r="I11" s="83">
        <f>Measurement!G4</f>
        <v>4.9768999999999997</v>
      </c>
      <c r="J11" s="83">
        <f>Measurement!G5</f>
        <v>4.9854000000000003</v>
      </c>
      <c r="K11" s="83">
        <f>Measurement!G6</f>
        <v>4.9912999999999998</v>
      </c>
      <c r="L11" s="83">
        <f>Measurement!G7</f>
        <v>0</v>
      </c>
      <c r="M11" s="83">
        <f>Measurement!G8</f>
        <v>0</v>
      </c>
      <c r="N11" s="77"/>
      <c r="O11" s="92"/>
      <c r="P11" s="92"/>
      <c r="Q11" s="92"/>
      <c r="R11" s="92"/>
      <c r="S11" s="92"/>
      <c r="T11" s="92"/>
      <c r="U11" s="92"/>
      <c r="V11" s="78"/>
      <c r="W11" s="92"/>
      <c r="X11" s="92"/>
      <c r="Y11" s="92"/>
      <c r="Z11" s="92"/>
      <c r="AA11" s="92"/>
    </row>
    <row r="12" spans="1:27" ht="20.100000000000001" customHeight="1">
      <c r="A12" s="75" t="s">
        <v>10</v>
      </c>
      <c r="B12" s="102" t="s">
        <v>30</v>
      </c>
      <c r="C12" s="83">
        <v>5</v>
      </c>
      <c r="D12" s="83">
        <v>0.01</v>
      </c>
      <c r="E12" s="83">
        <v>0.01</v>
      </c>
      <c r="F12" s="83">
        <f t="shared" si="0"/>
        <v>5.01</v>
      </c>
      <c r="G12" s="83">
        <f t="shared" si="1"/>
        <v>4.99</v>
      </c>
      <c r="H12" s="75" t="s">
        <v>35</v>
      </c>
      <c r="I12" s="83">
        <f>Measurement!H4</f>
        <v>4.9935</v>
      </c>
      <c r="J12" s="83">
        <f>Measurement!H5</f>
        <v>4.9988000000000001</v>
      </c>
      <c r="K12" s="83">
        <f>Measurement!H6</f>
        <v>4.9901</v>
      </c>
      <c r="L12" s="83">
        <f>Measurement!H7</f>
        <v>0</v>
      </c>
      <c r="M12" s="83">
        <f>Measurement!H8</f>
        <v>0</v>
      </c>
      <c r="N12" s="77"/>
      <c r="O12" s="92"/>
      <c r="P12" s="92"/>
      <c r="Q12" s="92"/>
      <c r="R12" s="92"/>
      <c r="S12" s="92"/>
      <c r="T12" s="92"/>
      <c r="U12" s="92"/>
      <c r="V12" s="78"/>
      <c r="W12" s="92"/>
      <c r="X12" s="92"/>
      <c r="Y12" s="92"/>
      <c r="Z12" s="92"/>
      <c r="AA12" s="92"/>
    </row>
    <row r="13" spans="1:27" ht="20.100000000000001" customHeight="1">
      <c r="A13" s="75" t="s">
        <v>11</v>
      </c>
      <c r="B13" s="102" t="s">
        <v>31</v>
      </c>
      <c r="C13" s="83">
        <v>2.5</v>
      </c>
      <c r="D13" s="83">
        <v>0.01</v>
      </c>
      <c r="E13" s="83">
        <v>0.01</v>
      </c>
      <c r="F13" s="83">
        <f t="shared" si="0"/>
        <v>2.5099999999999998</v>
      </c>
      <c r="G13" s="83">
        <f t="shared" si="1"/>
        <v>2.4900000000000002</v>
      </c>
      <c r="H13" s="75" t="s">
        <v>35</v>
      </c>
      <c r="I13" s="83">
        <f>Measurement!I4</f>
        <v>2.4946000000000002</v>
      </c>
      <c r="J13" s="83">
        <f>Measurement!I5</f>
        <v>2.4921000000000002</v>
      </c>
      <c r="K13" s="83">
        <f>Measurement!I6</f>
        <v>2.5049000000000001</v>
      </c>
      <c r="L13" s="83">
        <f>Measurement!I7</f>
        <v>0</v>
      </c>
      <c r="M13" s="83">
        <f>Measurement!I8</f>
        <v>0</v>
      </c>
      <c r="N13" s="77"/>
      <c r="O13" s="92"/>
      <c r="P13" s="92"/>
      <c r="Q13" s="92"/>
      <c r="R13" s="92"/>
      <c r="S13" s="92"/>
      <c r="T13" s="92"/>
      <c r="U13" s="92"/>
      <c r="V13" s="78"/>
      <c r="W13" s="92"/>
      <c r="X13" s="92"/>
      <c r="Y13" s="92"/>
      <c r="Z13" s="92"/>
      <c r="AA13" s="92"/>
    </row>
    <row r="14" spans="1:27" ht="20.100000000000001" customHeight="1">
      <c r="A14" s="75" t="s">
        <v>12</v>
      </c>
      <c r="B14" s="102" t="s">
        <v>32</v>
      </c>
      <c r="C14" s="83">
        <v>1</v>
      </c>
      <c r="D14" s="83">
        <v>0.01</v>
      </c>
      <c r="E14" s="83">
        <v>0.01</v>
      </c>
      <c r="F14" s="83">
        <f t="shared" si="0"/>
        <v>1.01</v>
      </c>
      <c r="G14" s="83">
        <f t="shared" si="1"/>
        <v>0.99</v>
      </c>
      <c r="H14" s="75" t="s">
        <v>35</v>
      </c>
      <c r="I14" s="83">
        <f>Measurement!J4</f>
        <v>0.99650000000000005</v>
      </c>
      <c r="J14" s="83">
        <f>Measurement!J5</f>
        <v>0.99650000000000005</v>
      </c>
      <c r="K14" s="83">
        <f>Measurement!J6</f>
        <v>0.99650000000000005</v>
      </c>
      <c r="L14" s="83">
        <f>Measurement!J7</f>
        <v>0</v>
      </c>
      <c r="M14" s="83">
        <f>Measurement!J8</f>
        <v>0</v>
      </c>
      <c r="N14" s="77" t="s">
        <v>5</v>
      </c>
      <c r="O14" s="92"/>
      <c r="P14" s="92"/>
      <c r="Q14" s="92"/>
      <c r="R14" s="92"/>
      <c r="S14" s="92"/>
      <c r="T14" s="92"/>
      <c r="U14" s="92"/>
      <c r="V14" s="78"/>
      <c r="W14" s="92"/>
      <c r="X14" s="92"/>
      <c r="Y14" s="92"/>
      <c r="Z14" s="92"/>
      <c r="AA14" s="92"/>
    </row>
    <row r="15" spans="1:27" ht="20.100000000000001" customHeight="1">
      <c r="A15" s="75" t="s">
        <v>13</v>
      </c>
      <c r="B15" s="102" t="s">
        <v>32</v>
      </c>
      <c r="C15" s="83">
        <v>1</v>
      </c>
      <c r="D15" s="83">
        <v>0.01</v>
      </c>
      <c r="E15" s="83">
        <v>0.01</v>
      </c>
      <c r="F15" s="83">
        <f t="shared" si="0"/>
        <v>1.01</v>
      </c>
      <c r="G15" s="83">
        <f t="shared" si="1"/>
        <v>0.99</v>
      </c>
      <c r="H15" s="75" t="s">
        <v>35</v>
      </c>
      <c r="I15" s="83">
        <f>Measurement!K4</f>
        <v>0.99650000000000005</v>
      </c>
      <c r="J15" s="83">
        <f>Measurement!K5</f>
        <v>0.99650000000000005</v>
      </c>
      <c r="K15" s="83">
        <f>Measurement!K6</f>
        <v>0.99650000000000005</v>
      </c>
      <c r="L15" s="83">
        <f>Measurement!K7</f>
        <v>0</v>
      </c>
      <c r="M15" s="83">
        <f>Measurement!K8</f>
        <v>0</v>
      </c>
      <c r="N15" s="77"/>
      <c r="O15" s="92"/>
      <c r="P15" s="92"/>
      <c r="Q15" s="92"/>
      <c r="R15" s="92"/>
      <c r="S15" s="92"/>
      <c r="T15" s="92"/>
      <c r="U15" s="92"/>
      <c r="V15" s="78"/>
      <c r="W15" s="92"/>
      <c r="X15" s="92"/>
      <c r="Y15" s="92"/>
      <c r="Z15" s="92"/>
      <c r="AA15" s="92"/>
    </row>
    <row r="16" spans="1:27" ht="20.100000000000001" customHeight="1">
      <c r="A16" s="75" t="s">
        <v>14</v>
      </c>
      <c r="B16" s="102" t="s">
        <v>32</v>
      </c>
      <c r="C16" s="83">
        <v>1</v>
      </c>
      <c r="D16" s="83">
        <v>0.01</v>
      </c>
      <c r="E16" s="83">
        <v>0.01</v>
      </c>
      <c r="F16" s="83">
        <f t="shared" si="0"/>
        <v>1.01</v>
      </c>
      <c r="G16" s="83">
        <f t="shared" si="1"/>
        <v>0.99</v>
      </c>
      <c r="H16" s="75" t="s">
        <v>35</v>
      </c>
      <c r="I16" s="83">
        <f>Measurement!L4</f>
        <v>0.99650000000000005</v>
      </c>
      <c r="J16" s="83">
        <f>Measurement!L5</f>
        <v>0.99650000000000005</v>
      </c>
      <c r="K16" s="83">
        <f>Measurement!L6</f>
        <v>0.99650000000000005</v>
      </c>
      <c r="L16" s="83">
        <f>Measurement!L7</f>
        <v>0</v>
      </c>
      <c r="M16" s="83">
        <f>Measurement!L8</f>
        <v>0</v>
      </c>
      <c r="N16" s="77"/>
      <c r="O16" s="92"/>
      <c r="P16" s="92"/>
      <c r="Q16" s="92"/>
      <c r="R16" s="92"/>
      <c r="S16" s="92"/>
      <c r="T16" s="92"/>
      <c r="U16" s="92"/>
      <c r="V16" s="78"/>
      <c r="W16" s="92"/>
      <c r="X16" s="92"/>
      <c r="Y16" s="92"/>
      <c r="Z16" s="92"/>
      <c r="AA16" s="92"/>
    </row>
    <row r="17" spans="1:27" ht="20.100000000000001" customHeight="1">
      <c r="A17" s="75" t="s">
        <v>15</v>
      </c>
      <c r="B17" s="102" t="s">
        <v>32</v>
      </c>
      <c r="C17" s="83">
        <v>1</v>
      </c>
      <c r="D17" s="83">
        <v>0.01</v>
      </c>
      <c r="E17" s="83">
        <v>0.01</v>
      </c>
      <c r="F17" s="83">
        <f t="shared" si="0"/>
        <v>1.01</v>
      </c>
      <c r="G17" s="83">
        <f t="shared" si="1"/>
        <v>0.99</v>
      </c>
      <c r="H17" s="75" t="s">
        <v>35</v>
      </c>
      <c r="I17" s="83">
        <f>Measurement!M4</f>
        <v>0.99650000000000005</v>
      </c>
      <c r="J17" s="83">
        <f>Measurement!M5</f>
        <v>0.99650000000000005</v>
      </c>
      <c r="K17" s="83">
        <f>Measurement!M6</f>
        <v>0.99650000000000005</v>
      </c>
      <c r="L17" s="83">
        <f>Measurement!M7</f>
        <v>0</v>
      </c>
      <c r="M17" s="83">
        <f>Measurement!M8</f>
        <v>0</v>
      </c>
      <c r="N17" s="77"/>
      <c r="O17" s="92"/>
      <c r="P17" s="92"/>
      <c r="Q17" s="92"/>
      <c r="R17" s="92"/>
      <c r="S17" s="92"/>
      <c r="T17" s="92"/>
      <c r="U17" s="92"/>
      <c r="V17" s="78"/>
      <c r="W17" s="92"/>
      <c r="X17" s="92"/>
      <c r="Y17" s="92"/>
      <c r="Z17" s="92"/>
      <c r="AA17" s="92"/>
    </row>
    <row r="18" spans="1:27" ht="20.100000000000001" customHeight="1">
      <c r="A18" s="75" t="s">
        <v>16</v>
      </c>
      <c r="B18" s="102" t="s">
        <v>33</v>
      </c>
      <c r="C18" s="83">
        <v>0.125</v>
      </c>
      <c r="D18" s="83">
        <v>5.0000000000000001E-3</v>
      </c>
      <c r="E18" s="83">
        <v>5.0000000000000001E-3</v>
      </c>
      <c r="F18" s="83">
        <f t="shared" si="0"/>
        <v>0.13</v>
      </c>
      <c r="G18" s="83">
        <f t="shared" si="1"/>
        <v>0.12</v>
      </c>
      <c r="H18" s="75" t="s">
        <v>36</v>
      </c>
      <c r="I18" s="83">
        <f>Measurement!N4</f>
        <v>0.13120000000000001</v>
      </c>
      <c r="J18" s="83">
        <f>Measurement!N5</f>
        <v>0.1313</v>
      </c>
      <c r="K18" s="83">
        <f>Measurement!N6</f>
        <v>0.12970000000000001</v>
      </c>
      <c r="L18" s="83">
        <f>Measurement!N7</f>
        <v>0</v>
      </c>
      <c r="M18" s="83">
        <f>Measurement!N8</f>
        <v>0</v>
      </c>
      <c r="N18" s="77"/>
      <c r="O18" s="92"/>
      <c r="P18" s="92"/>
      <c r="Q18" s="92"/>
      <c r="R18" s="92"/>
      <c r="S18" s="92"/>
      <c r="T18" s="92"/>
      <c r="U18" s="92"/>
      <c r="V18" s="78"/>
      <c r="W18" s="92"/>
      <c r="X18" s="92"/>
      <c r="Y18" s="92"/>
      <c r="Z18" s="92"/>
      <c r="AA18" s="92"/>
    </row>
    <row r="19" spans="1:27" ht="20.100000000000001" customHeight="1">
      <c r="A19" s="75" t="s">
        <v>17</v>
      </c>
      <c r="B19" s="102" t="s">
        <v>30</v>
      </c>
      <c r="C19" s="83">
        <v>6.3E-2</v>
      </c>
      <c r="D19" s="83">
        <v>5.0000000000000001E-3</v>
      </c>
      <c r="E19" s="83">
        <v>5.0000000000000001E-3</v>
      </c>
      <c r="F19" s="83">
        <f t="shared" si="0"/>
        <v>6.8000000000000005E-2</v>
      </c>
      <c r="G19" s="83">
        <f t="shared" si="1"/>
        <v>5.8000000000000003E-2</v>
      </c>
      <c r="H19" s="75" t="s">
        <v>35</v>
      </c>
      <c r="I19" s="83">
        <f>Measurement!O4</f>
        <v>6.25E-2</v>
      </c>
      <c r="J19" s="83">
        <f>Measurement!O5</f>
        <v>6.1800000000000001E-2</v>
      </c>
      <c r="K19" s="83">
        <f>Measurement!O6</f>
        <v>6.4500000000000002E-2</v>
      </c>
      <c r="L19" s="83">
        <f>Measurement!O7</f>
        <v>0</v>
      </c>
      <c r="M19" s="83">
        <f>Measurement!O8</f>
        <v>0</v>
      </c>
      <c r="N19" s="77"/>
      <c r="O19" s="92"/>
      <c r="P19" s="92"/>
      <c r="Q19" s="92"/>
      <c r="R19" s="92"/>
      <c r="S19" s="92"/>
      <c r="T19" s="92"/>
      <c r="U19" s="92"/>
      <c r="V19" s="78"/>
      <c r="W19" s="92"/>
      <c r="X19" s="92"/>
      <c r="Y19" s="92"/>
      <c r="Z19" s="92"/>
      <c r="AA19" s="92"/>
    </row>
    <row r="20" spans="1:27" ht="20.100000000000001" customHeight="1">
      <c r="A20" s="75" t="s">
        <v>47</v>
      </c>
      <c r="B20" s="102" t="s">
        <v>30</v>
      </c>
      <c r="C20" s="83">
        <v>0.125</v>
      </c>
      <c r="D20" s="83">
        <v>5.0000000000000001E-3</v>
      </c>
      <c r="E20" s="83">
        <v>5.0000000000000001E-3</v>
      </c>
      <c r="F20" s="83">
        <f t="shared" si="0"/>
        <v>0.13</v>
      </c>
      <c r="G20" s="83">
        <f t="shared" si="1"/>
        <v>0.12</v>
      </c>
      <c r="H20" s="75" t="s">
        <v>35</v>
      </c>
      <c r="I20" s="83">
        <f>Measurement!P4</f>
        <v>0.13020000000000001</v>
      </c>
      <c r="J20" s="83">
        <f>Measurement!P5</f>
        <v>0.1295</v>
      </c>
      <c r="K20" s="83">
        <f>Measurement!P6</f>
        <v>0.13420000000000001</v>
      </c>
      <c r="L20" s="83">
        <f>Measurement!P7</f>
        <v>0</v>
      </c>
      <c r="M20" s="83">
        <f>Measurement!P8</f>
        <v>0</v>
      </c>
      <c r="N20" s="77"/>
      <c r="O20" s="92"/>
      <c r="P20" s="92"/>
      <c r="Q20" s="92"/>
      <c r="R20" s="92"/>
      <c r="S20" s="92"/>
      <c r="T20" s="92"/>
      <c r="U20" s="92"/>
      <c r="V20" s="78"/>
      <c r="W20" s="92"/>
      <c r="X20" s="92"/>
      <c r="Y20" s="92"/>
      <c r="Z20" s="92"/>
      <c r="AA20" s="92"/>
    </row>
    <row r="21" spans="1:27" ht="20.100000000000001" customHeight="1">
      <c r="A21" s="87"/>
      <c r="B21" s="79"/>
      <c r="C21" s="79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77"/>
      <c r="O21" s="92"/>
      <c r="P21" s="92"/>
      <c r="Q21" s="92"/>
      <c r="R21" s="92"/>
      <c r="S21" s="92"/>
      <c r="T21" s="92"/>
      <c r="U21" s="92"/>
      <c r="V21" s="78"/>
    </row>
    <row r="22" spans="1:27" ht="20.100000000000001" customHeight="1">
      <c r="A22" s="87"/>
      <c r="B22" s="79"/>
      <c r="C22" s="79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77"/>
      <c r="O22" s="92"/>
      <c r="P22" s="92"/>
      <c r="Q22" s="92"/>
      <c r="R22" s="92"/>
      <c r="S22" s="92"/>
      <c r="T22" s="92"/>
      <c r="U22" s="92"/>
      <c r="V22" s="78"/>
    </row>
    <row r="23" spans="1:27" ht="20.100000000000001" customHeight="1">
      <c r="A23" s="88"/>
      <c r="B23" s="89"/>
      <c r="C23" s="79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77"/>
      <c r="O23" s="92"/>
      <c r="P23" s="92"/>
      <c r="Q23" s="92"/>
      <c r="R23" s="92"/>
      <c r="S23" s="92"/>
      <c r="T23" s="92"/>
      <c r="U23" s="92"/>
      <c r="V23" s="78"/>
    </row>
    <row r="24" spans="1:27" ht="20.100000000000001" customHeight="1">
      <c r="A24" s="87"/>
      <c r="B24" s="79"/>
      <c r="C24" s="79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77"/>
      <c r="O24" s="92"/>
      <c r="P24" s="92"/>
      <c r="Q24" s="92"/>
      <c r="R24" s="92"/>
      <c r="S24" s="92"/>
      <c r="T24" s="92"/>
      <c r="U24" s="92"/>
      <c r="V24" s="78"/>
    </row>
    <row r="25" spans="1:27" ht="20.100000000000001" customHeight="1">
      <c r="A25" s="87"/>
      <c r="B25" s="79"/>
      <c r="C25" s="79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77"/>
      <c r="O25" s="92"/>
      <c r="P25" s="92"/>
      <c r="Q25" s="92"/>
      <c r="R25" s="92"/>
      <c r="S25" s="92"/>
      <c r="T25" s="92"/>
      <c r="U25" s="92"/>
      <c r="V25" s="78"/>
    </row>
    <row r="26" spans="1:27" ht="20.100000000000001" customHeight="1">
      <c r="A26" s="87"/>
      <c r="B26" s="79"/>
      <c r="C26" s="79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77"/>
      <c r="O26" s="92"/>
      <c r="P26" s="92"/>
      <c r="Q26" s="92"/>
      <c r="R26" s="92"/>
      <c r="S26" s="92"/>
      <c r="T26" s="92"/>
      <c r="U26" s="92"/>
      <c r="V26" s="78"/>
    </row>
    <row r="27" spans="1:27" ht="20.100000000000001" customHeight="1">
      <c r="A27" s="87"/>
      <c r="B27" s="79"/>
      <c r="C27" s="79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77"/>
      <c r="O27" s="92"/>
      <c r="P27" s="92"/>
      <c r="Q27" s="92"/>
      <c r="R27" s="92"/>
      <c r="S27" s="92"/>
      <c r="T27" s="92"/>
      <c r="U27" s="92"/>
      <c r="V27" s="78"/>
    </row>
    <row r="28" spans="1:27" ht="20.100000000000001" customHeight="1">
      <c r="A28" s="87"/>
      <c r="B28" s="79"/>
      <c r="C28" s="79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77"/>
      <c r="O28" s="92"/>
      <c r="P28" s="92"/>
      <c r="Q28" s="92"/>
      <c r="R28" s="92"/>
      <c r="S28" s="92"/>
      <c r="T28" s="92"/>
      <c r="U28" s="92"/>
      <c r="V28" s="78"/>
    </row>
    <row r="29" spans="1:27" ht="20.100000000000001" customHeight="1">
      <c r="A29" s="87"/>
      <c r="B29" s="79"/>
      <c r="C29" s="79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77"/>
      <c r="O29" s="92"/>
      <c r="P29" s="92"/>
      <c r="Q29" s="92"/>
      <c r="R29" s="92"/>
      <c r="S29" s="92"/>
      <c r="T29" s="92"/>
      <c r="U29" s="92"/>
      <c r="V29" s="78"/>
    </row>
    <row r="30" spans="1:27" ht="20.100000000000001" customHeight="1">
      <c r="A30" s="87"/>
      <c r="B30" s="79"/>
      <c r="C30" s="79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77"/>
      <c r="O30" s="92"/>
      <c r="P30" s="92"/>
      <c r="Q30" s="92"/>
      <c r="R30" s="92"/>
      <c r="S30" s="92"/>
      <c r="T30" s="92"/>
      <c r="U30" s="92"/>
      <c r="V30" s="78"/>
    </row>
    <row r="31" spans="1:27" ht="20.100000000000001" customHeight="1">
      <c r="A31" s="87"/>
      <c r="B31" s="79"/>
      <c r="C31" s="79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77"/>
      <c r="O31" s="92"/>
      <c r="P31" s="92"/>
      <c r="Q31" s="92"/>
      <c r="R31" s="92"/>
      <c r="S31" s="92"/>
      <c r="T31" s="92"/>
      <c r="U31" s="92"/>
      <c r="V31" s="78"/>
    </row>
    <row r="32" spans="1:27" ht="20.100000000000001" customHeight="1">
      <c r="A32" s="87"/>
      <c r="B32" s="79"/>
      <c r="C32" s="79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77"/>
      <c r="O32" s="92"/>
      <c r="P32" s="92"/>
      <c r="Q32" s="92"/>
      <c r="R32" s="92"/>
      <c r="S32" s="92"/>
      <c r="T32" s="92"/>
      <c r="U32" s="92"/>
      <c r="V32" s="78"/>
    </row>
    <row r="33" spans="1:22" ht="20.100000000000001" customHeight="1">
      <c r="A33" s="87"/>
      <c r="B33" s="79"/>
      <c r="C33" s="79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77"/>
      <c r="O33" s="92"/>
      <c r="P33" s="92"/>
      <c r="Q33" s="92"/>
      <c r="R33" s="92"/>
      <c r="S33" s="92"/>
      <c r="T33" s="92"/>
      <c r="U33" s="92"/>
      <c r="V33" s="78"/>
    </row>
    <row r="34" spans="1:22" ht="20.100000000000001" customHeight="1">
      <c r="A34" s="87"/>
      <c r="B34" s="79"/>
      <c r="C34" s="79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77"/>
      <c r="O34" s="92"/>
      <c r="P34" s="92"/>
      <c r="Q34" s="92"/>
      <c r="R34" s="92"/>
      <c r="S34" s="92"/>
      <c r="T34" s="92"/>
      <c r="U34" s="92"/>
      <c r="V34" s="78"/>
    </row>
    <row r="35" spans="1:22" ht="20.100000000000001" customHeight="1">
      <c r="A35" s="87"/>
      <c r="B35" s="79"/>
      <c r="C35" s="79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77"/>
      <c r="O35" s="92"/>
      <c r="P35" s="92"/>
      <c r="Q35" s="92"/>
      <c r="R35" s="92"/>
      <c r="S35" s="92"/>
      <c r="T35" s="92"/>
      <c r="U35" s="92"/>
      <c r="V35" s="78"/>
    </row>
    <row r="36" spans="1:22" ht="20.100000000000001" customHeight="1">
      <c r="A36" s="87"/>
      <c r="B36" s="79"/>
      <c r="C36" s="79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77"/>
      <c r="O36" s="92"/>
      <c r="P36" s="92"/>
      <c r="Q36" s="92"/>
      <c r="R36" s="92"/>
      <c r="S36" s="92"/>
      <c r="T36" s="92"/>
      <c r="U36" s="92"/>
      <c r="V36" s="78"/>
    </row>
    <row r="37" spans="1:22" ht="20.100000000000001" customHeight="1">
      <c r="A37" s="87"/>
      <c r="B37" s="79"/>
      <c r="C37" s="79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77"/>
      <c r="O37" s="92"/>
      <c r="P37" s="92"/>
      <c r="Q37" s="92"/>
      <c r="R37" s="92"/>
      <c r="S37" s="92"/>
      <c r="T37" s="92"/>
      <c r="U37" s="92"/>
      <c r="V37" s="78"/>
    </row>
    <row r="38" spans="1:22" ht="20.100000000000001" customHeight="1">
      <c r="N38" s="77"/>
      <c r="O38" s="92"/>
      <c r="P38" s="92"/>
      <c r="Q38" s="92"/>
      <c r="R38" s="92"/>
      <c r="S38" s="92"/>
      <c r="T38" s="92"/>
      <c r="U38" s="92"/>
      <c r="V38" s="78"/>
    </row>
    <row r="39" spans="1:22" ht="20.100000000000001" customHeight="1">
      <c r="N39" s="77"/>
      <c r="O39" s="92"/>
      <c r="P39" s="92"/>
      <c r="Q39" s="92"/>
      <c r="R39" s="92"/>
      <c r="S39" s="92"/>
      <c r="T39" s="92"/>
      <c r="U39" s="92"/>
      <c r="V39" s="78"/>
    </row>
    <row r="40" spans="1:22" ht="20.100000000000001" customHeight="1">
      <c r="N40" s="77"/>
      <c r="O40" s="92"/>
      <c r="P40" s="92"/>
      <c r="Q40" s="92"/>
      <c r="R40" s="92"/>
      <c r="S40" s="92"/>
      <c r="T40" s="92"/>
      <c r="U40" s="92"/>
      <c r="V40" s="78"/>
    </row>
    <row r="41" spans="1:22" ht="20.100000000000001" customHeight="1">
      <c r="N41" s="77"/>
      <c r="O41" s="92"/>
      <c r="P41" s="92"/>
      <c r="Q41" s="92"/>
      <c r="R41" s="92"/>
      <c r="S41" s="92"/>
      <c r="T41" s="92"/>
      <c r="U41" s="92"/>
      <c r="V41" s="78"/>
    </row>
    <row r="42" spans="1:22" ht="20.100000000000001" customHeight="1">
      <c r="N42" s="77"/>
      <c r="O42" s="92"/>
      <c r="P42" s="92"/>
      <c r="Q42" s="92"/>
      <c r="R42" s="92"/>
      <c r="S42" s="92"/>
      <c r="T42" s="92"/>
      <c r="U42" s="92"/>
      <c r="V42" s="78"/>
    </row>
    <row r="43" spans="1:22" ht="20.100000000000001" customHeight="1">
      <c r="N43" s="77"/>
      <c r="O43" s="92"/>
      <c r="P43" s="92"/>
      <c r="Q43" s="92"/>
      <c r="R43" s="92"/>
      <c r="S43" s="92"/>
      <c r="T43" s="92"/>
      <c r="U43" s="92"/>
      <c r="V43" s="78"/>
    </row>
    <row r="44" spans="1:22" ht="20.100000000000001" customHeight="1">
      <c r="N44" s="84"/>
      <c r="O44" s="85"/>
      <c r="P44" s="85"/>
      <c r="Q44" s="85"/>
      <c r="R44" s="85"/>
      <c r="S44" s="85"/>
      <c r="T44" s="85"/>
      <c r="U44" s="85"/>
      <c r="V44" s="86"/>
    </row>
    <row r="45" spans="1:22" ht="20.100000000000001" customHeight="1"/>
    <row r="46" spans="1:22" ht="20.100000000000001" customHeight="1"/>
    <row r="47" spans="1:22" ht="20.100000000000001" customHeight="1"/>
    <row r="48" spans="1:22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  <row r="80" ht="20.100000000000001" customHeight="1"/>
    <row r="81" ht="20.100000000000001" customHeight="1"/>
    <row r="82" ht="20.100000000000001" customHeight="1"/>
    <row r="83" ht="20.100000000000001" customHeight="1"/>
    <row r="84" ht="20.100000000000001" customHeight="1"/>
    <row r="85" ht="20.100000000000001" customHeight="1"/>
    <row r="86" ht="20.100000000000001" customHeight="1"/>
    <row r="87" ht="20.100000000000001" customHeight="1"/>
    <row r="88" ht="20.100000000000001" customHeight="1"/>
    <row r="89" ht="20.100000000000001" customHeight="1"/>
    <row r="90" ht="20.100000000000001" customHeight="1"/>
    <row r="91" ht="20.100000000000001" customHeight="1"/>
    <row r="92" ht="20.100000000000001" customHeight="1"/>
    <row r="93" ht="20.100000000000001" customHeight="1"/>
    <row r="94" ht="20.100000000000001" customHeight="1"/>
    <row r="95" ht="20.100000000000001" customHeight="1"/>
    <row r="96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</sheetData>
  <mergeCells count="1">
    <mergeCell ref="A1:M1"/>
  </mergeCells>
  <conditionalFormatting sqref="I7:M20">
    <cfRule type="expression" dxfId="0" priority="1">
      <formula>OR(N(I7)&gt;N($F7), N(I7)&lt;N($G7))</formula>
    </cfRule>
  </conditionalFormatting>
  <printOptions horizontalCentered="1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88A1F28-4964-4C07-8CD4-6F4182D131A1}">
          <x14:formula1>
            <xm:f>Source!$D$2:$D$100</xm:f>
          </x14:formula1>
          <xm:sqref>K4</xm:sqref>
        </x14:dataValidation>
        <x14:dataValidation type="list" allowBlank="1" showInputMessage="1" showErrorMessage="1" xr:uid="{0AF9D2A0-AB18-427B-914E-3E7055FCA6A5}">
          <x14:formula1>
            <xm:f>Source!$C$2:$C$100</xm:f>
          </x14:formula1>
          <xm:sqref>H7:H20</xm:sqref>
        </x14:dataValidation>
        <x14:dataValidation type="list" allowBlank="1" showInputMessage="1" showErrorMessage="1" xr:uid="{A9276B3C-983C-4B4B-9D4A-499038F1DF36}">
          <x14:formula1>
            <xm:f>Source!$B$2:$B$100</xm:f>
          </x14:formula1>
          <xm:sqref>B7:B20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F2311-3373-4FC8-A169-706E5AD80554}">
  <dimension ref="B1:AA36"/>
  <sheetViews>
    <sheetView zoomScaleNormal="100" workbookViewId="0">
      <selection activeCell="C7" sqref="C7"/>
    </sheetView>
  </sheetViews>
  <sheetFormatPr defaultColWidth="9" defaultRowHeight="11.25"/>
  <cols>
    <col min="1" max="1" width="9" style="1"/>
    <col min="2" max="2" width="4.85546875" style="1" customWidth="1"/>
    <col min="3" max="4" width="8.7109375" style="4" customWidth="1"/>
    <col min="5" max="16" width="8.7109375" style="1" customWidth="1"/>
    <col min="17" max="18" width="9.28515625" style="1" customWidth="1"/>
    <col min="19" max="16384" width="9" style="1"/>
  </cols>
  <sheetData>
    <row r="1" spans="2:27" ht="30" customHeight="1">
      <c r="B1" s="103" t="s">
        <v>2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8"/>
    </row>
    <row r="2" spans="2:27" ht="26.45" customHeight="1" thickBot="1">
      <c r="B2" s="104" t="s">
        <v>3</v>
      </c>
      <c r="C2" s="105"/>
      <c r="D2" s="105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7" t="s">
        <v>42</v>
      </c>
      <c r="P2" s="104">
        <v>3222610</v>
      </c>
      <c r="Q2" s="9"/>
    </row>
    <row r="3" spans="2:27" ht="24.95" customHeight="1" thickTop="1">
      <c r="B3" s="108" t="s">
        <v>7</v>
      </c>
      <c r="C3" s="109" t="s">
        <v>0</v>
      </c>
      <c r="D3" s="109" t="s">
        <v>1</v>
      </c>
      <c r="E3" s="110" t="s">
        <v>6</v>
      </c>
      <c r="F3" s="111" t="s">
        <v>8</v>
      </c>
      <c r="G3" s="111" t="s">
        <v>9</v>
      </c>
      <c r="H3" s="111" t="s">
        <v>10</v>
      </c>
      <c r="I3" s="111" t="s">
        <v>11</v>
      </c>
      <c r="J3" s="111" t="s">
        <v>12</v>
      </c>
      <c r="K3" s="111" t="s">
        <v>13</v>
      </c>
      <c r="L3" s="111" t="s">
        <v>14</v>
      </c>
      <c r="M3" s="111" t="s">
        <v>15</v>
      </c>
      <c r="N3" s="110" t="s">
        <v>16</v>
      </c>
      <c r="O3" s="111" t="s">
        <v>17</v>
      </c>
      <c r="P3" s="112" t="s">
        <v>47</v>
      </c>
      <c r="Q3" s="11"/>
      <c r="R3" s="10"/>
      <c r="T3" s="7"/>
    </row>
    <row r="4" spans="2:27" ht="20.100000000000001" customHeight="1">
      <c r="B4" s="113">
        <v>1</v>
      </c>
      <c r="C4" s="114">
        <v>0.12540000000000001</v>
      </c>
      <c r="D4" s="114">
        <v>2.4889000000000001</v>
      </c>
      <c r="E4" s="114">
        <v>2.4963000000000002</v>
      </c>
      <c r="F4" s="114">
        <v>0.1308</v>
      </c>
      <c r="G4" s="114">
        <v>4.9768999999999997</v>
      </c>
      <c r="H4" s="114">
        <v>4.9935</v>
      </c>
      <c r="I4" s="114">
        <v>2.4946000000000002</v>
      </c>
      <c r="J4" s="114">
        <v>0.99650000000000005</v>
      </c>
      <c r="K4" s="114">
        <v>0.99650000000000005</v>
      </c>
      <c r="L4" s="114">
        <v>0.99650000000000005</v>
      </c>
      <c r="M4" s="114">
        <v>0.99650000000000005</v>
      </c>
      <c r="N4" s="114">
        <v>0.13120000000000001</v>
      </c>
      <c r="O4" s="114">
        <v>6.25E-2</v>
      </c>
      <c r="P4" s="114">
        <v>0.13020000000000001</v>
      </c>
      <c r="Q4" s="2"/>
      <c r="R4" s="12"/>
    </row>
    <row r="5" spans="2:27" ht="20.100000000000001" customHeight="1">
      <c r="B5" s="113">
        <v>2</v>
      </c>
      <c r="C5" s="115">
        <v>0.1221</v>
      </c>
      <c r="D5" s="115">
        <v>2.4861</v>
      </c>
      <c r="E5" s="115">
        <v>2.496</v>
      </c>
      <c r="F5" s="115">
        <v>0.12479999999999999</v>
      </c>
      <c r="G5" s="115">
        <v>4.9854000000000003</v>
      </c>
      <c r="H5" s="115">
        <v>4.9988000000000001</v>
      </c>
      <c r="I5" s="115">
        <v>2.4921000000000002</v>
      </c>
      <c r="J5" s="115">
        <v>0.99650000000000005</v>
      </c>
      <c r="K5" s="115">
        <v>0.99650000000000005</v>
      </c>
      <c r="L5" s="115">
        <v>0.99650000000000005</v>
      </c>
      <c r="M5" s="115">
        <v>0.99650000000000005</v>
      </c>
      <c r="N5" s="115">
        <v>0.1313</v>
      </c>
      <c r="O5" s="115">
        <v>6.1800000000000001E-2</v>
      </c>
      <c r="P5" s="115">
        <v>0.1295</v>
      </c>
      <c r="Q5" s="13"/>
      <c r="R5" s="14"/>
    </row>
    <row r="6" spans="2:27" ht="20.100000000000001" customHeight="1">
      <c r="B6" s="113">
        <v>3</v>
      </c>
      <c r="C6" s="114">
        <v>0.1236</v>
      </c>
      <c r="D6" s="114">
        <v>2.4988999999999999</v>
      </c>
      <c r="E6" s="114">
        <v>2.4973000000000001</v>
      </c>
      <c r="F6" s="114">
        <v>0.12920000000000001</v>
      </c>
      <c r="G6" s="114">
        <v>4.9912999999999998</v>
      </c>
      <c r="H6" s="114">
        <v>4.9901</v>
      </c>
      <c r="I6" s="114">
        <v>2.5049000000000001</v>
      </c>
      <c r="J6" s="114">
        <v>0.99650000000000005</v>
      </c>
      <c r="K6" s="114">
        <v>0.99650000000000005</v>
      </c>
      <c r="L6" s="114">
        <v>0.99650000000000005</v>
      </c>
      <c r="M6" s="114">
        <v>0.99650000000000005</v>
      </c>
      <c r="N6" s="114">
        <v>0.12970000000000001</v>
      </c>
      <c r="O6" s="114">
        <v>6.4500000000000002E-2</v>
      </c>
      <c r="P6" s="114">
        <v>0.13420000000000001</v>
      </c>
      <c r="Q6" s="13"/>
      <c r="R6" s="14"/>
    </row>
    <row r="7" spans="2:27" ht="20.100000000000001" customHeight="1">
      <c r="B7" s="113">
        <v>4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3"/>
      <c r="R7" s="14"/>
    </row>
    <row r="8" spans="2:27" ht="20.100000000000001" customHeight="1" thickBot="1">
      <c r="B8" s="116">
        <v>5</v>
      </c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6"/>
      <c r="R8" s="15"/>
    </row>
    <row r="9" spans="2:27" ht="6.75" customHeight="1" thickTop="1"/>
    <row r="10" spans="2:27" ht="20.100000000000001" customHeight="1">
      <c r="B10" s="68"/>
      <c r="C10" s="67"/>
      <c r="D10" s="67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5"/>
      <c r="Q10" s="3"/>
    </row>
    <row r="11" spans="2:27" ht="20.100000000000001" customHeight="1">
      <c r="B11" s="62"/>
      <c r="C11" s="5"/>
      <c r="D11" s="5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61"/>
      <c r="Q11" s="3"/>
      <c r="T11" s="1" t="s">
        <v>5</v>
      </c>
    </row>
    <row r="12" spans="2:27" ht="20.100000000000001" customHeight="1">
      <c r="B12" s="62"/>
      <c r="C12" s="5"/>
      <c r="D12" s="5"/>
      <c r="E12" s="3"/>
      <c r="F12" s="3"/>
      <c r="G12" s="3"/>
      <c r="H12" s="3"/>
      <c r="I12" s="3"/>
      <c r="J12" s="3"/>
      <c r="K12" s="3"/>
      <c r="L12" s="3"/>
      <c r="M12" s="64"/>
      <c r="N12" s="3"/>
      <c r="O12" s="3"/>
      <c r="P12" s="61"/>
      <c r="Q12" s="3"/>
    </row>
    <row r="13" spans="2:27" ht="20.100000000000001" customHeight="1">
      <c r="B13" s="62"/>
      <c r="C13" s="5"/>
      <c r="D13" s="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61"/>
      <c r="Q13" s="3"/>
    </row>
    <row r="14" spans="2:27" ht="20.100000000000001" customHeight="1">
      <c r="B14" s="62"/>
      <c r="C14" s="5"/>
      <c r="D14" s="5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61"/>
      <c r="Q14" s="3"/>
    </row>
    <row r="15" spans="2:27" ht="20.100000000000001" customHeight="1">
      <c r="B15" s="62"/>
      <c r="C15" s="5"/>
      <c r="D15" s="5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61"/>
      <c r="Q15" s="3"/>
    </row>
    <row r="16" spans="2:27" ht="20.100000000000001" customHeight="1">
      <c r="B16" s="62"/>
      <c r="C16" s="5"/>
      <c r="D16" s="5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61"/>
      <c r="Q16" s="3"/>
      <c r="AA16" s="1" t="s">
        <v>50</v>
      </c>
    </row>
    <row r="17" spans="2:23" ht="20.100000000000001" customHeight="1">
      <c r="B17" s="62"/>
      <c r="C17" s="5"/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61"/>
      <c r="Q17" s="3"/>
    </row>
    <row r="18" spans="2:23" ht="20.100000000000001" customHeight="1">
      <c r="B18" s="62"/>
      <c r="C18" s="5"/>
      <c r="D18" s="5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61"/>
      <c r="Q18" s="3"/>
      <c r="W18" s="1" t="s">
        <v>4</v>
      </c>
    </row>
    <row r="19" spans="2:23" ht="20.100000000000001" customHeight="1">
      <c r="B19" s="62"/>
      <c r="C19" s="5"/>
      <c r="D19" s="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61"/>
      <c r="Q19" s="3"/>
    </row>
    <row r="20" spans="2:23" ht="20.100000000000001" customHeight="1">
      <c r="B20" s="62"/>
      <c r="C20" s="5"/>
      <c r="D20" s="5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61"/>
      <c r="Q20" s="3"/>
    </row>
    <row r="21" spans="2:23" ht="20.100000000000001" customHeight="1">
      <c r="B21" s="62"/>
      <c r="C21" s="5"/>
      <c r="D21" s="5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61"/>
      <c r="Q21" s="3"/>
    </row>
    <row r="22" spans="2:23" ht="20.100000000000001" customHeight="1">
      <c r="B22" s="63"/>
      <c r="C22" s="16"/>
      <c r="D22" s="5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61"/>
      <c r="Q22" s="3"/>
    </row>
    <row r="23" spans="2:23" ht="20.100000000000001" customHeight="1">
      <c r="B23" s="62"/>
      <c r="C23" s="5"/>
      <c r="D23" s="5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61"/>
      <c r="Q23" s="3"/>
    </row>
    <row r="24" spans="2:23">
      <c r="B24" s="62"/>
      <c r="C24" s="5"/>
      <c r="D24" s="5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61"/>
      <c r="Q24" s="3"/>
    </row>
    <row r="25" spans="2:23">
      <c r="B25" s="62"/>
      <c r="C25" s="5"/>
      <c r="D25" s="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61"/>
      <c r="Q25" s="3"/>
    </row>
    <row r="26" spans="2:23">
      <c r="B26" s="60"/>
      <c r="C26" s="59"/>
      <c r="D26" s="59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7"/>
      <c r="Q26" s="3"/>
    </row>
    <row r="27" spans="2:23">
      <c r="B27" s="3"/>
      <c r="C27" s="5"/>
      <c r="D27" s="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2:23">
      <c r="B28" s="3"/>
      <c r="C28" s="5"/>
      <c r="D28" s="5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2:23">
      <c r="B29" s="3"/>
      <c r="C29" s="5"/>
      <c r="D29" s="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2:23">
      <c r="B30" s="3"/>
      <c r="C30" s="5"/>
      <c r="D30" s="5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2:23">
      <c r="B31" s="3"/>
      <c r="C31" s="5"/>
      <c r="D31" s="5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2:23">
      <c r="B32" s="3"/>
      <c r="C32" s="5"/>
      <c r="D32" s="5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2:17">
      <c r="B33" s="3"/>
      <c r="C33" s="5"/>
      <c r="D33" s="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2:17">
      <c r="B34" s="3"/>
      <c r="C34" s="5"/>
      <c r="D34" s="5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2:17">
      <c r="B35" s="3"/>
      <c r="C35" s="5"/>
      <c r="D35" s="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2:17">
      <c r="B36" s="3"/>
      <c r="C36" s="5"/>
      <c r="D36" s="5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</sheetData>
  <mergeCells count="1">
    <mergeCell ref="B1:P1"/>
  </mergeCells>
  <phoneticPr fontId="13" type="noConversion"/>
  <printOptions horizontalCentered="1"/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7B0A-CFC1-4849-8BF0-BC204AB729E1}">
  <dimension ref="B1:D5"/>
  <sheetViews>
    <sheetView workbookViewId="0">
      <selection activeCell="F23" sqref="F23"/>
    </sheetView>
  </sheetViews>
  <sheetFormatPr defaultRowHeight="15"/>
  <cols>
    <col min="2" max="4" width="15.7109375" style="56" customWidth="1"/>
  </cols>
  <sheetData>
    <row r="1" spans="2:4" ht="30" customHeight="1">
      <c r="B1" s="69" t="s">
        <v>29</v>
      </c>
      <c r="C1" s="69" t="s">
        <v>34</v>
      </c>
      <c r="D1" s="69" t="s">
        <v>44</v>
      </c>
    </row>
    <row r="2" spans="2:4">
      <c r="B2" s="56" t="s">
        <v>30</v>
      </c>
      <c r="C2" s="56" t="s">
        <v>35</v>
      </c>
      <c r="D2" s="56" t="s">
        <v>45</v>
      </c>
    </row>
    <row r="3" spans="2:4">
      <c r="B3" s="56" t="s">
        <v>31</v>
      </c>
      <c r="C3" s="56" t="s">
        <v>36</v>
      </c>
      <c r="D3" s="56" t="s">
        <v>46</v>
      </c>
    </row>
    <row r="4" spans="2:4">
      <c r="B4" s="56" t="s">
        <v>32</v>
      </c>
    </row>
    <row r="5" spans="2:4">
      <c r="B5" s="56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FAR</vt:lpstr>
      <vt:lpstr>FAR-v</vt:lpstr>
      <vt:lpstr>Measurement</vt:lpstr>
      <vt:lpstr>Source</vt:lpstr>
      <vt:lpstr>FAR!Print_Area</vt:lpstr>
      <vt:lpstr>'FAR-v'!Print_Area</vt:lpstr>
      <vt:lpstr>Measurement!Print_Area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giridhar Addagudi</cp:lastModifiedBy>
  <cp:lastPrinted>2026-01-05T19:29:49Z</cp:lastPrinted>
  <dcterms:created xsi:type="dcterms:W3CDTF">2020-11-06T07:08:00Z</dcterms:created>
  <dcterms:modified xsi:type="dcterms:W3CDTF">2026-01-05T19:33:44Z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2052-11.1.0.10132</vt:lpwstr>
  </property>
</Properties>
</file>