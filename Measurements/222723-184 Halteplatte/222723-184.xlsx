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222723-184 Halteplatte\"/>
    </mc:Choice>
  </mc:AlternateContent>
  <xr:revisionPtr revIDLastSave="0" documentId="13_ncr:1_{50539E32-6B76-4306-A2EF-E72165112B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" sheetId="18" r:id="rId2"/>
    <sheet name="FAR-v" sheetId="24" r:id="rId3"/>
    <sheet name="Source" sheetId="19" r:id="rId4"/>
  </sheets>
  <definedNames>
    <definedName name="_xlnm._FilterDatabase" localSheetId="1" hidden="1">FAR!$A$6:$M$11</definedName>
    <definedName name="_xlnm._FilterDatabase" localSheetId="2" hidden="1">'FAR-v'!$A$6:$M$11</definedName>
    <definedName name="_xlnm.Print_Area" localSheetId="1">FAR!$A$1:$AA$22</definedName>
    <definedName name="_xlnm.Print_Area" localSheetId="2">'FAR-v'!$A$1:$V$44</definedName>
    <definedName name="_xlnm.Print_Area" localSheetId="0">Measurement!$B$1:$P$26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3" l="1"/>
  <c r="M16" i="24" s="1"/>
  <c r="L7" i="23"/>
  <c r="L6" i="23"/>
  <c r="K16" i="24" s="1"/>
  <c r="L5" i="23"/>
  <c r="L4" i="23"/>
  <c r="I16" i="24" s="1"/>
  <c r="I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G7" i="24"/>
  <c r="F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L16" i="24"/>
  <c r="J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L16" i="18"/>
  <c r="J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  <c r="M16" i="18" l="1"/>
  <c r="K16" i="18"/>
  <c r="I16" i="18"/>
</calcChain>
</file>

<file path=xl/sharedStrings.xml><?xml version="1.0" encoding="utf-8"?>
<sst xmlns="http://schemas.openxmlformats.org/spreadsheetml/2006/main" count="134" uniqueCount="53">
  <si>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</si>
  <si>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</si>
  <si>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</si>
  <si>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</si>
  <si>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</si>
  <si>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</si>
  <si>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</si>
  <si>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</si>
  <si>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</si>
  <si>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</si>
  <si>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</si>
  <si>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</si>
  <si>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</si>
  <si>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</si>
  <si>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</si>
  <si>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</si>
  <si>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</si>
  <si>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</si>
  <si>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</si>
  <si>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</si>
  <si>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</si>
  <si>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</si>
  <si>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</si>
  <si>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</si>
  <si>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</si>
  <si>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</si>
  <si>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</si>
  <si>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</si>
  <si>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</si>
  <si>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</si>
  <si>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</si>
  <si>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</si>
  <si>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</si>
  <si>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</si>
  <si>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</si>
  <si>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</si>
  <si>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</si>
  <si>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</si>
  <si>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</si>
  <si>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</si>
  <si>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</si>
  <si>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</si>
  <si>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</si>
  <si>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</si>
  <si>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</si>
  <si>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</si>
  <si>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</si>
  <si>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</si>
  <si>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</si>
  <si>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</si>
  <si>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</si>
  <si>
    <t>Terra Shim #5</t>
  </si>
  <si>
    <t>Part #. 222723-184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</si>
</sst>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0" fontId="9" fillId="0" borderId="1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49" fontId="9" fillId="0" borderId="0" xfId="0" applyNumberFormat="1" applyFont="1">
      <alignment vertical="center"/>
    </xf>
    <xf numFmtId="0" fontId="10" fillId="2" borderId="2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30" xfId="0" applyFont="1" applyBorder="1" applyAlignment="1">
      <alignment horizontal="right" vertical="center"/>
    </xf>
    <xf numFmtId="0" fontId="6" fillId="0" borderId="0" xfId="0" applyFont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3" xfId="0" applyFont="1" applyBorder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9" fontId="15" fillId="0" borderId="0" xfId="0" applyNumberFormat="1" applyFo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quotePrefix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49" fontId="17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15" fillId="0" borderId="34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49" fontId="15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35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9525</xdr:rowOff>
    </xdr:from>
    <xdr:to>
      <xdr:col>8</xdr:col>
      <xdr:colOff>257175</xdr:colOff>
      <xdr:row>25</xdr:row>
      <xdr:rowOff>88900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5CEC56C-6F71-BACA-D047-95F1B362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333" y="2376121"/>
          <a:ext cx="4042996" cy="3860067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571500</xdr:colOff>
      <xdr:row>8</xdr:row>
      <xdr:rowOff>22713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2652346" y="2301386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8</xdr:col>
      <xdr:colOff>175846</xdr:colOff>
      <xdr:row>16</xdr:row>
      <xdr:rowOff>125291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4572000" y="423569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2</xdr:col>
      <xdr:colOff>175846</xdr:colOff>
      <xdr:row>23</xdr:row>
      <xdr:rowOff>112102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1099038" y="5966314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2</xdr:col>
      <xdr:colOff>138480</xdr:colOff>
      <xdr:row>12</xdr:row>
      <xdr:rowOff>60081</xdr:rowOff>
    </xdr:from>
    <xdr:ext cx="29783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B9A344-E438-4E02-99E2-51858CAAD290}"/>
            </a:ext>
          </a:extLst>
        </xdr:cNvPr>
        <xdr:cNvSpPr txBox="1"/>
      </xdr:nvSpPr>
      <xdr:spPr>
        <a:xfrm>
          <a:off x="1061672" y="3174023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twoCellAnchor editAs="oneCell">
    <xdr:from>
      <xdr:col>13</xdr:col>
      <xdr:colOff>285750</xdr:colOff>
      <xdr:row>21</xdr:row>
      <xdr:rowOff>219075</xdr:rowOff>
    </xdr:from>
    <xdr:to>
      <xdr:col>15</xdr:col>
      <xdr:colOff>552649</xdr:colOff>
      <xdr:row>25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20C2DAC-56B7-2C32-73EC-732F1B779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00950" y="5543550"/>
          <a:ext cx="1428949" cy="6477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7</xdr:col>
      <xdr:colOff>217611</xdr:colOff>
      <xdr:row>13</xdr:row>
      <xdr:rowOff>43961</xdr:rowOff>
    </xdr:from>
    <xdr:ext cx="272254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924952-6F4C-4FF2-85B9-3FAF74883BD8}"/>
            </a:ext>
          </a:extLst>
        </xdr:cNvPr>
        <xdr:cNvSpPr txBox="1"/>
      </xdr:nvSpPr>
      <xdr:spPr>
        <a:xfrm>
          <a:off x="4034938" y="3407019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7</xdr:col>
      <xdr:colOff>386131</xdr:colOff>
      <xdr:row>17</xdr:row>
      <xdr:rowOff>168519</xdr:rowOff>
    </xdr:from>
    <xdr:ext cx="267061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231626-58A9-466B-9B4D-DC2A364B905B}"/>
            </a:ext>
          </a:extLst>
        </xdr:cNvPr>
        <xdr:cNvSpPr txBox="1"/>
      </xdr:nvSpPr>
      <xdr:spPr>
        <a:xfrm>
          <a:off x="4203458" y="4528038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4</xdr:col>
      <xdr:colOff>576631</xdr:colOff>
      <xdr:row>22</xdr:row>
      <xdr:rowOff>124557</xdr:rowOff>
    </xdr:from>
    <xdr:ext cx="299056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B184298-CB8B-42E7-91E2-E1558480831B}"/>
            </a:ext>
          </a:extLst>
        </xdr:cNvPr>
        <xdr:cNvSpPr txBox="1"/>
      </xdr:nvSpPr>
      <xdr:spPr>
        <a:xfrm>
          <a:off x="2657477" y="5729653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</a:p>
      </xdr:txBody>
    </xdr:sp>
    <xdr:clientData/>
  </xdr:oneCellAnchor>
  <xdr:twoCellAnchor editAs="oneCell">
    <xdr:from>
      <xdr:col>9</xdr:col>
      <xdr:colOff>249115</xdr:colOff>
      <xdr:row>22</xdr:row>
      <xdr:rowOff>64144</xdr:rowOff>
    </xdr:from>
    <xdr:to>
      <xdr:col>13</xdr:col>
      <xdr:colOff>277391</xdr:colOff>
      <xdr:row>26</xdr:row>
      <xdr:rowOff>848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D55D539-8871-7E15-B574-DCD0B6D2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24096" y="5669240"/>
          <a:ext cx="2343583" cy="625435"/>
        </a:xfrm>
        <a:prstGeom prst="rect">
          <a:avLst/>
        </a:prstGeom>
      </xdr:spPr>
    </xdr:pic>
    <xdr:clientData/>
  </xdr:twoCellAnchor>
  <xdr:oneCellAnchor>
    <xdr:from>
      <xdr:col>6</xdr:col>
      <xdr:colOff>575165</xdr:colOff>
      <xdr:row>16</xdr:row>
      <xdr:rowOff>218341</xdr:rowOff>
    </xdr:from>
    <xdr:ext cx="297902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13F2360-0CBC-4238-AC77-8F065DAE7722}"/>
            </a:ext>
          </a:extLst>
        </xdr:cNvPr>
        <xdr:cNvSpPr txBox="1"/>
      </xdr:nvSpPr>
      <xdr:spPr>
        <a:xfrm>
          <a:off x="3813665" y="432874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395655</xdr:colOff>
      <xdr:row>10</xdr:row>
      <xdr:rowOff>109904</xdr:rowOff>
    </xdr:from>
    <xdr:ext cx="232500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4C1F9F-8027-4C52-B957-7392262CF49D}"/>
            </a:ext>
          </a:extLst>
        </xdr:cNvPr>
        <xdr:cNvSpPr txBox="1"/>
      </xdr:nvSpPr>
      <xdr:spPr>
        <a:xfrm>
          <a:off x="2476501" y="2725616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5</xdr:col>
      <xdr:colOff>359020</xdr:colOff>
      <xdr:row>12</xdr:row>
      <xdr:rowOff>14655</xdr:rowOff>
    </xdr:from>
    <xdr:ext cx="244106" cy="31149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BE20F92-28C5-42D5-BFAC-AA6594F2AC01}"/>
            </a:ext>
          </a:extLst>
        </xdr:cNvPr>
        <xdr:cNvSpPr txBox="1"/>
      </xdr:nvSpPr>
      <xdr:spPr>
        <a:xfrm>
          <a:off x="3018693" y="3128597"/>
          <a:ext cx="2441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4</xdr:col>
      <xdr:colOff>14655</xdr:colOff>
      <xdr:row>12</xdr:row>
      <xdr:rowOff>87924</xdr:rowOff>
    </xdr:from>
    <xdr:ext cx="28283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B57B115-EE45-45BA-B6A8-F237D6719A92}"/>
            </a:ext>
          </a:extLst>
        </xdr:cNvPr>
        <xdr:cNvSpPr txBox="1"/>
      </xdr:nvSpPr>
      <xdr:spPr>
        <a:xfrm>
          <a:off x="2095501" y="3201866"/>
          <a:ext cx="2828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K</a:t>
          </a:r>
        </a:p>
      </xdr:txBody>
    </xdr:sp>
    <xdr:clientData/>
  </xdr:oneCellAnchor>
  <xdr:oneCellAnchor>
    <xdr:from>
      <xdr:col>2</xdr:col>
      <xdr:colOff>219809</xdr:colOff>
      <xdr:row>15</xdr:row>
      <xdr:rowOff>153866</xdr:rowOff>
    </xdr:from>
    <xdr:ext cx="260584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7F4FC14-76B9-45AD-94DF-18703B3D3C39}"/>
            </a:ext>
          </a:extLst>
        </xdr:cNvPr>
        <xdr:cNvSpPr txBox="1"/>
      </xdr:nvSpPr>
      <xdr:spPr>
        <a:xfrm>
          <a:off x="1143001" y="4015154"/>
          <a:ext cx="2605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L</a:t>
          </a:r>
        </a:p>
      </xdr:txBody>
    </xdr:sp>
    <xdr:clientData/>
  </xdr:oneCellAnchor>
  <xdr:oneCellAnchor>
    <xdr:from>
      <xdr:col>2</xdr:col>
      <xdr:colOff>227136</xdr:colOff>
      <xdr:row>18</xdr:row>
      <xdr:rowOff>117230</xdr:rowOff>
    </xdr:from>
    <xdr:ext cx="341568" cy="31149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CAF64C0-4408-4007-AC00-3055F003679D}"/>
            </a:ext>
          </a:extLst>
        </xdr:cNvPr>
        <xdr:cNvSpPr txBox="1"/>
      </xdr:nvSpPr>
      <xdr:spPr>
        <a:xfrm>
          <a:off x="1150328" y="4725865"/>
          <a:ext cx="34156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topLeftCell="A3" zoomScale="130" zoomScaleNormal="130" workbookViewId="0">
      <selection activeCell="N11" sqref="N11"/>
    </sheetView>
  </sheetViews>
  <sheetFormatPr defaultColWidth="9" defaultRowHeight="11.25"/>
  <cols>
    <col min="1" max="1" width="9" style="1"/>
    <col min="2" max="2" width="4.85546875" style="1" customWidth="1"/>
    <col min="3" max="4" width="8.7109375" style="4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110" t="s">
        <v>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8"/>
    </row>
    <row r="2" spans="2:27" ht="26.45" customHeight="1" thickBot="1">
      <c r="B2" s="98" t="s">
        <v>3</v>
      </c>
      <c r="C2" s="99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  <c r="P2" s="101" t="s">
        <v>52</v>
      </c>
      <c r="Q2" s="9"/>
    </row>
    <row r="3" spans="2:27" ht="24.95" customHeight="1" thickTop="1">
      <c r="B3" s="102" t="s">
        <v>7</v>
      </c>
      <c r="C3" s="103" t="s">
        <v>0</v>
      </c>
      <c r="D3" s="103" t="s">
        <v>1</v>
      </c>
      <c r="E3" s="104" t="s">
        <v>6</v>
      </c>
      <c r="F3" s="105" t="s">
        <v>8</v>
      </c>
      <c r="G3" s="105" t="s">
        <v>9</v>
      </c>
      <c r="H3" s="105" t="s">
        <v>10</v>
      </c>
      <c r="I3" s="105" t="s">
        <v>11</v>
      </c>
      <c r="J3" s="105" t="s">
        <v>12</v>
      </c>
      <c r="K3" s="105" t="s">
        <v>13</v>
      </c>
      <c r="L3" s="105" t="s">
        <v>14</v>
      </c>
      <c r="M3" s="105" t="s">
        <v>15</v>
      </c>
      <c r="N3" s="104" t="s">
        <v>16</v>
      </c>
      <c r="O3" s="105" t="s">
        <v>17</v>
      </c>
      <c r="P3" s="106" t="s">
        <v>47</v>
      </c>
      <c r="Q3" s="11"/>
      <c r="R3" s="10"/>
      <c r="T3" s="7"/>
    </row>
    <row r="4" spans="2:27" ht="20.100000000000001" customHeight="1">
      <c r="B4" s="107">
        <v>1</v>
      </c>
      <c r="C4" s="46">
        <v>37.93</v>
      </c>
      <c r="D4" s="46">
        <v>37.909999999999997</v>
      </c>
      <c r="E4" s="46">
        <v>1.01</v>
      </c>
      <c r="F4" s="46">
        <v>5.66</v>
      </c>
      <c r="G4" s="46">
        <v>5.0179999999999998</v>
      </c>
      <c r="H4" s="46">
        <v>27.931000000000001</v>
      </c>
      <c r="I4" s="46">
        <v>10.284000000000001</v>
      </c>
      <c r="J4" s="46">
        <v>6.6</v>
      </c>
      <c r="K4" s="46">
        <v>0.52200000000000002</v>
      </c>
      <c r="L4" s="46">
        <f>32.01/2</f>
        <v>16.004999999999999</v>
      </c>
      <c r="M4" s="46">
        <v>0.41</v>
      </c>
      <c r="N4" s="46">
        <v>13.425000000000001</v>
      </c>
      <c r="O4" s="111">
        <v>10.07</v>
      </c>
      <c r="P4" s="115"/>
      <c r="Q4" s="2"/>
      <c r="R4" s="12"/>
    </row>
    <row r="5" spans="2:27" ht="20.100000000000001" customHeight="1">
      <c r="B5" s="107">
        <v>2</v>
      </c>
      <c r="C5" s="47">
        <v>38.01</v>
      </c>
      <c r="D5" s="47">
        <v>37.96</v>
      </c>
      <c r="E5" s="47">
        <v>1.02</v>
      </c>
      <c r="F5" s="47">
        <v>5.5830000000000002</v>
      </c>
      <c r="G5" s="47">
        <v>4.9889999999999999</v>
      </c>
      <c r="H5" s="47">
        <v>28.004000000000001</v>
      </c>
      <c r="I5" s="47">
        <v>10.287000000000001</v>
      </c>
      <c r="J5" s="47">
        <v>6.6</v>
      </c>
      <c r="K5" s="47">
        <v>0.56299999999999994</v>
      </c>
      <c r="L5" s="47">
        <f>32.24/2</f>
        <v>16.12</v>
      </c>
      <c r="M5" s="47">
        <v>0.45</v>
      </c>
      <c r="N5" s="47">
        <v>13.48</v>
      </c>
      <c r="O5" s="112">
        <v>10.025</v>
      </c>
      <c r="P5" s="116"/>
      <c r="Q5" s="13"/>
      <c r="R5" s="14"/>
    </row>
    <row r="6" spans="2:27" ht="20.100000000000001" customHeight="1">
      <c r="B6" s="107">
        <v>3</v>
      </c>
      <c r="C6" s="46">
        <v>38.06</v>
      </c>
      <c r="D6" s="46">
        <v>38.03</v>
      </c>
      <c r="E6" s="46">
        <v>1.05</v>
      </c>
      <c r="F6" s="46">
        <v>5.6</v>
      </c>
      <c r="G6" s="46">
        <v>4.8979999999999997</v>
      </c>
      <c r="H6" s="46">
        <v>27.972000000000001</v>
      </c>
      <c r="I6" s="46">
        <v>10.273999999999999</v>
      </c>
      <c r="J6" s="46">
        <v>6.52</v>
      </c>
      <c r="K6" s="46">
        <v>0.48599999999999999</v>
      </c>
      <c r="L6" s="46">
        <f>31.97/2</f>
        <v>15.984999999999999</v>
      </c>
      <c r="M6" s="46">
        <v>0.4</v>
      </c>
      <c r="N6" s="46">
        <v>13.601000000000001</v>
      </c>
      <c r="O6" s="111">
        <v>10.045</v>
      </c>
      <c r="P6" s="115"/>
      <c r="Q6" s="13"/>
      <c r="R6" s="14"/>
    </row>
    <row r="7" spans="2:27" ht="20.100000000000001" customHeight="1">
      <c r="B7" s="107">
        <v>4</v>
      </c>
      <c r="C7" s="47">
        <v>38.07</v>
      </c>
      <c r="D7" s="47">
        <v>37.94</v>
      </c>
      <c r="E7" s="47">
        <v>1</v>
      </c>
      <c r="F7" s="47">
        <v>5.5860000000000003</v>
      </c>
      <c r="G7" s="47">
        <v>5.1539999999999999</v>
      </c>
      <c r="H7" s="47">
        <v>27.965</v>
      </c>
      <c r="I7" s="47">
        <v>9.86</v>
      </c>
      <c r="J7" s="47">
        <v>6.7</v>
      </c>
      <c r="K7" s="47">
        <v>0.6</v>
      </c>
      <c r="L7" s="47">
        <f>32.33/2</f>
        <v>16.164999999999999</v>
      </c>
      <c r="M7" s="47">
        <v>0.5</v>
      </c>
      <c r="N7" s="47">
        <v>13.44</v>
      </c>
      <c r="O7" s="112">
        <v>10.234999999999999</v>
      </c>
      <c r="P7" s="116"/>
      <c r="Q7" s="13"/>
      <c r="R7" s="14"/>
    </row>
    <row r="8" spans="2:27" ht="20.100000000000001" customHeight="1" thickBot="1">
      <c r="B8" s="108">
        <v>5</v>
      </c>
      <c r="C8" s="113">
        <v>38.020000000000003</v>
      </c>
      <c r="D8" s="113">
        <v>37.79</v>
      </c>
      <c r="E8" s="113">
        <v>1</v>
      </c>
      <c r="F8" s="113">
        <v>5.5880000000000001</v>
      </c>
      <c r="G8" s="113">
        <v>5.0060000000000002</v>
      </c>
      <c r="H8" s="113">
        <v>27.952999999999999</v>
      </c>
      <c r="I8" s="113">
        <v>9.6189999999999998</v>
      </c>
      <c r="J8" s="113">
        <v>6.64</v>
      </c>
      <c r="K8" s="113">
        <v>0.442</v>
      </c>
      <c r="L8" s="113">
        <f>32.41/2</f>
        <v>16.204999999999998</v>
      </c>
      <c r="M8" s="113">
        <v>0.32400000000000001</v>
      </c>
      <c r="N8" s="113">
        <v>13.45</v>
      </c>
      <c r="O8" s="114">
        <v>10.105</v>
      </c>
      <c r="P8" s="117"/>
      <c r="Q8" s="6"/>
      <c r="R8" s="15"/>
    </row>
    <row r="9" spans="2:27" ht="6.75" customHeight="1" thickTop="1"/>
    <row r="10" spans="2:27" ht="20.100000000000001" customHeight="1">
      <c r="B10" s="68"/>
      <c r="C10" s="67"/>
      <c r="D10" s="67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5"/>
      <c r="Q10" s="3"/>
    </row>
    <row r="11" spans="2:27" ht="20.100000000000001" customHeight="1">
      <c r="B11" s="62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61"/>
      <c r="Q11" s="3"/>
      <c r="T11" s="1" t="s">
        <v>5</v>
      </c>
    </row>
    <row r="12" spans="2:27" ht="20.100000000000001" customHeight="1">
      <c r="B12" s="62"/>
      <c r="C12" s="5"/>
      <c r="D12" s="5"/>
      <c r="E12" s="3"/>
      <c r="F12" s="3"/>
      <c r="G12" s="3"/>
      <c r="H12" s="3"/>
      <c r="I12" s="3"/>
      <c r="J12" s="3"/>
      <c r="K12" s="3"/>
      <c r="L12" s="3"/>
      <c r="M12" s="64"/>
      <c r="N12" s="3"/>
      <c r="O12" s="3"/>
      <c r="P12" s="61"/>
      <c r="Q12" s="3"/>
    </row>
    <row r="13" spans="2:27" ht="20.100000000000001" customHeight="1">
      <c r="B13" s="62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61"/>
      <c r="Q13" s="3"/>
    </row>
    <row r="14" spans="2:27" ht="20.100000000000001" customHeight="1">
      <c r="B14" s="62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61"/>
      <c r="Q14" s="3"/>
    </row>
    <row r="15" spans="2:27" ht="20.100000000000001" customHeight="1">
      <c r="B15" s="62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61"/>
      <c r="Q15" s="3"/>
    </row>
    <row r="16" spans="2:27" ht="20.100000000000001" customHeight="1">
      <c r="B16" s="62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61"/>
      <c r="Q16" s="3"/>
      <c r="AA16" s="1" t="s">
        <v>50</v>
      </c>
    </row>
    <row r="17" spans="2:23" ht="20.100000000000001" customHeight="1">
      <c r="B17" s="62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61"/>
      <c r="Q17" s="3"/>
    </row>
    <row r="18" spans="2:23" ht="20.100000000000001" customHeight="1">
      <c r="B18" s="62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61"/>
      <c r="Q18" s="3"/>
      <c r="W18" s="1" t="s">
        <v>4</v>
      </c>
    </row>
    <row r="19" spans="2:23" ht="20.100000000000001" customHeight="1">
      <c r="B19" s="62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61"/>
      <c r="Q19" s="3"/>
    </row>
    <row r="20" spans="2:23" ht="20.100000000000001" customHeight="1">
      <c r="B20" s="62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1"/>
      <c r="Q20" s="3"/>
    </row>
    <row r="21" spans="2:23" ht="20.100000000000001" customHeight="1">
      <c r="B21" s="62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61"/>
      <c r="Q21" s="3"/>
    </row>
    <row r="22" spans="2:23" ht="20.100000000000001" customHeight="1">
      <c r="B22" s="63"/>
      <c r="C22" s="16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1"/>
      <c r="Q22" s="3"/>
    </row>
    <row r="23" spans="2:23" ht="20.100000000000001" customHeight="1">
      <c r="B23" s="62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61"/>
      <c r="Q23" s="3"/>
    </row>
    <row r="24" spans="2:23">
      <c r="B24" s="62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1"/>
      <c r="Q24" s="3"/>
    </row>
    <row r="25" spans="2:23">
      <c r="B25" s="62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1"/>
      <c r="Q25" s="3"/>
    </row>
    <row r="26" spans="2:23">
      <c r="B26" s="60"/>
      <c r="C26" s="59"/>
      <c r="D26" s="59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7"/>
      <c r="Q26" s="3"/>
    </row>
    <row r="27" spans="2:23">
      <c r="B27" s="3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3">
      <c r="B28" s="3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3">
      <c r="B29" s="3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3">
      <c r="B30" s="3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23">
      <c r="B31" s="3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23">
      <c r="B32" s="3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>
      <c r="B33" s="3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>
      <c r="B34" s="3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>
      <c r="B35" s="3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>
      <c r="B36" s="3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</sheetData>
  <mergeCells count="1">
    <mergeCell ref="B1:P1"/>
  </mergeCells>
  <phoneticPr fontId="13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E23" sqref="E23"/>
    </sheetView>
  </sheetViews>
  <sheetFormatPr defaultColWidth="9" defaultRowHeight="12"/>
  <cols>
    <col min="1" max="1" width="4.85546875" style="17" customWidth="1"/>
    <col min="2" max="2" width="11.7109375" style="26" customWidth="1"/>
    <col min="3" max="3" width="9.7109375" style="26" customWidth="1"/>
    <col min="4" max="5" width="11.7109375" style="17" customWidth="1"/>
    <col min="6" max="7" width="9.7109375" style="17" customWidth="1"/>
    <col min="8" max="8" width="11.7109375" style="17" customWidth="1"/>
    <col min="9" max="13" width="9.7109375" style="17" customWidth="1"/>
    <col min="14" max="16384" width="9" style="17"/>
  </cols>
  <sheetData>
    <row r="1" spans="1:27" ht="42" customHeight="1">
      <c r="A1" s="109" t="s">
        <v>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22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9"/>
    </row>
    <row r="2" spans="1:27" ht="26.45" customHeight="1">
      <c r="A2" s="36" t="s">
        <v>3</v>
      </c>
      <c r="B2" s="18"/>
      <c r="C2" s="18"/>
      <c r="D2" s="19"/>
      <c r="E2" s="19"/>
      <c r="F2" s="19"/>
      <c r="G2" s="19"/>
      <c r="H2" s="19"/>
      <c r="I2" s="32" t="s">
        <v>43</v>
      </c>
      <c r="J2" s="31"/>
      <c r="K2" s="29" t="s">
        <v>41</v>
      </c>
      <c r="L2" s="32"/>
      <c r="M2" s="33"/>
      <c r="N2" s="50"/>
      <c r="AA2" s="51"/>
    </row>
    <row r="3" spans="1:27" ht="26.45" customHeight="1">
      <c r="A3" s="35" t="s">
        <v>40</v>
      </c>
      <c r="B3" s="18"/>
      <c r="C3" s="18"/>
      <c r="D3" s="19"/>
      <c r="E3" s="19"/>
      <c r="F3" s="19"/>
      <c r="G3" s="19"/>
      <c r="H3" s="19"/>
      <c r="I3" s="19"/>
      <c r="J3" s="19"/>
      <c r="K3" s="30" t="s">
        <v>42</v>
      </c>
      <c r="L3" s="32"/>
      <c r="M3" s="34"/>
      <c r="N3" s="50"/>
      <c r="AA3" s="51"/>
    </row>
    <row r="4" spans="1:27" ht="26.45" customHeight="1">
      <c r="B4" s="19"/>
      <c r="C4" s="37"/>
      <c r="D4" s="37"/>
      <c r="E4" s="19"/>
      <c r="F4" s="19"/>
      <c r="G4" s="19"/>
      <c r="H4" s="19"/>
      <c r="I4" s="19"/>
      <c r="J4" s="19"/>
      <c r="K4" s="31" t="s">
        <v>39</v>
      </c>
      <c r="L4" s="32"/>
      <c r="M4" s="34"/>
      <c r="N4" s="50"/>
      <c r="AA4" s="51"/>
    </row>
    <row r="5" spans="1:27" ht="26.45" customHeight="1">
      <c r="A5" s="20"/>
      <c r="B5" s="18"/>
      <c r="C5" s="18"/>
      <c r="D5" s="19"/>
      <c r="E5" s="19"/>
      <c r="F5" s="19"/>
      <c r="G5" s="19"/>
      <c r="H5" s="19"/>
      <c r="I5" s="19"/>
      <c r="J5" s="19"/>
      <c r="K5" s="19"/>
      <c r="N5" s="50"/>
      <c r="AA5" s="51"/>
    </row>
    <row r="6" spans="1:27" ht="24.95" customHeight="1">
      <c r="A6" s="38" t="s">
        <v>18</v>
      </c>
      <c r="B6" s="39" t="s">
        <v>19</v>
      </c>
      <c r="C6" s="39" t="s">
        <v>20</v>
      </c>
      <c r="D6" s="40" t="s">
        <v>37</v>
      </c>
      <c r="E6" s="40" t="s">
        <v>38</v>
      </c>
      <c r="F6" s="41" t="s">
        <v>21</v>
      </c>
      <c r="G6" s="41" t="s">
        <v>22</v>
      </c>
      <c r="H6" s="41" t="s">
        <v>23</v>
      </c>
      <c r="I6" s="41" t="s">
        <v>24</v>
      </c>
      <c r="J6" s="41" t="s">
        <v>25</v>
      </c>
      <c r="K6" s="41" t="s">
        <v>26</v>
      </c>
      <c r="L6" s="41" t="s">
        <v>27</v>
      </c>
      <c r="M6" s="38" t="s">
        <v>28</v>
      </c>
      <c r="N6" s="52"/>
      <c r="AA6" s="51"/>
    </row>
    <row r="7" spans="1:27" ht="20.100000000000001" customHeight="1">
      <c r="A7" s="42" t="s">
        <v>0</v>
      </c>
      <c r="B7" s="21"/>
      <c r="C7" s="46"/>
      <c r="D7" s="45"/>
      <c r="E7" s="43"/>
      <c r="F7" s="43">
        <v>0.14000000000000001</v>
      </c>
      <c r="G7" s="43">
        <v>0.12</v>
      </c>
      <c r="H7" s="23"/>
      <c r="I7" s="43">
        <f>Measurement!C4</f>
        <v>37.93</v>
      </c>
      <c r="J7" s="43">
        <f>Measurement!C5</f>
        <v>38.01</v>
      </c>
      <c r="K7" s="43">
        <f>Measurement!C6</f>
        <v>38.06</v>
      </c>
      <c r="L7" s="43">
        <f>Measurement!C7</f>
        <v>38.07</v>
      </c>
      <c r="M7" s="44">
        <f>Measurement!C8</f>
        <v>38.020000000000003</v>
      </c>
      <c r="N7" s="50"/>
      <c r="AA7" s="51"/>
    </row>
    <row r="8" spans="1:27" ht="20.100000000000001" customHeight="1">
      <c r="A8" s="42" t="s">
        <v>1</v>
      </c>
      <c r="B8" s="21"/>
      <c r="C8" s="47"/>
      <c r="D8" s="45"/>
      <c r="E8" s="45"/>
      <c r="F8" s="43"/>
      <c r="G8" s="43"/>
      <c r="H8" s="23"/>
      <c r="I8" s="43">
        <f>Measurement!D4</f>
        <v>37.909999999999997</v>
      </c>
      <c r="J8" s="43">
        <f>Measurement!D5</f>
        <v>37.96</v>
      </c>
      <c r="K8" s="43">
        <f>Measurement!D6</f>
        <v>38.03</v>
      </c>
      <c r="L8" s="43">
        <f>Measurement!D7</f>
        <v>37.94</v>
      </c>
      <c r="M8" s="44">
        <f>Measurement!D8</f>
        <v>37.79</v>
      </c>
      <c r="N8" s="50"/>
      <c r="AA8" s="51"/>
    </row>
    <row r="9" spans="1:27" ht="20.100000000000001" customHeight="1">
      <c r="A9" s="42" t="s">
        <v>6</v>
      </c>
      <c r="B9" s="21"/>
      <c r="C9" s="47"/>
      <c r="D9" s="45"/>
      <c r="E9" s="45"/>
      <c r="F9" s="43"/>
      <c r="G9" s="43"/>
      <c r="H9" s="23"/>
      <c r="I9" s="43">
        <f>Measurement!E4</f>
        <v>1.01</v>
      </c>
      <c r="J9" s="43">
        <f>Measurement!E5</f>
        <v>1.02</v>
      </c>
      <c r="K9" s="43">
        <f>Measurement!E6</f>
        <v>1.05</v>
      </c>
      <c r="L9" s="43">
        <f>Measurement!E7</f>
        <v>1</v>
      </c>
      <c r="M9" s="44">
        <f>Measurement!E8</f>
        <v>1</v>
      </c>
      <c r="N9" s="50"/>
      <c r="AA9" s="51"/>
    </row>
    <row r="10" spans="1:27" ht="20.100000000000001" customHeight="1">
      <c r="A10" s="42" t="s">
        <v>8</v>
      </c>
      <c r="B10" s="21"/>
      <c r="C10" s="47"/>
      <c r="D10" s="45"/>
      <c r="E10" s="45"/>
      <c r="F10" s="43"/>
      <c r="G10" s="43"/>
      <c r="H10" s="23"/>
      <c r="I10" s="43">
        <f>Measurement!F4</f>
        <v>5.66</v>
      </c>
      <c r="J10" s="43">
        <f>Measurement!F5</f>
        <v>5.5830000000000002</v>
      </c>
      <c r="K10" s="43">
        <f>Measurement!F6</f>
        <v>5.6</v>
      </c>
      <c r="L10" s="43">
        <f>Measurement!F7</f>
        <v>5.5860000000000003</v>
      </c>
      <c r="M10" s="44">
        <f>Measurement!F8</f>
        <v>5.5880000000000001</v>
      </c>
      <c r="N10" s="50"/>
      <c r="AA10" s="51"/>
    </row>
    <row r="11" spans="1:27" ht="20.100000000000001" customHeight="1">
      <c r="A11" s="42" t="s">
        <v>9</v>
      </c>
      <c r="B11" s="21"/>
      <c r="C11" s="44"/>
      <c r="D11" s="44"/>
      <c r="E11" s="44"/>
      <c r="F11" s="43"/>
      <c r="G11" s="43"/>
      <c r="H11" s="23"/>
      <c r="I11" s="43">
        <f>Measurement!G4</f>
        <v>5.0179999999999998</v>
      </c>
      <c r="J11" s="43">
        <f>Measurement!G5</f>
        <v>4.9889999999999999</v>
      </c>
      <c r="K11" s="43">
        <f>Measurement!G6</f>
        <v>4.8979999999999997</v>
      </c>
      <c r="L11" s="43">
        <f>Measurement!G7</f>
        <v>5.1539999999999999</v>
      </c>
      <c r="M11" s="44">
        <f>Measurement!G8</f>
        <v>5.0060000000000002</v>
      </c>
      <c r="N11" s="50"/>
      <c r="AA11" s="51"/>
    </row>
    <row r="12" spans="1:27" ht="20.100000000000001" customHeight="1">
      <c r="A12" s="42" t="s">
        <v>10</v>
      </c>
      <c r="B12" s="21"/>
      <c r="C12" s="46"/>
      <c r="D12" s="45"/>
      <c r="E12" s="43"/>
      <c r="F12" s="43"/>
      <c r="G12" s="43"/>
      <c r="H12" s="23"/>
      <c r="I12" s="43">
        <f>Measurement!H4</f>
        <v>27.931000000000001</v>
      </c>
      <c r="J12" s="43">
        <f>Measurement!H5</f>
        <v>28.004000000000001</v>
      </c>
      <c r="K12" s="43">
        <f>Measurement!H6</f>
        <v>27.972000000000001</v>
      </c>
      <c r="L12" s="43">
        <f>Measurement!H7</f>
        <v>27.965</v>
      </c>
      <c r="M12" s="44">
        <f>Measurement!H8</f>
        <v>27.952999999999999</v>
      </c>
      <c r="N12" s="50"/>
      <c r="AA12" s="51"/>
    </row>
    <row r="13" spans="1:27" ht="20.100000000000001" customHeight="1">
      <c r="A13" s="42" t="s">
        <v>11</v>
      </c>
      <c r="B13" s="21"/>
      <c r="C13" s="47"/>
      <c r="D13" s="45"/>
      <c r="E13" s="45"/>
      <c r="F13" s="43"/>
      <c r="G13" s="43"/>
      <c r="H13" s="23"/>
      <c r="I13" s="43">
        <f>Measurement!I4</f>
        <v>10.284000000000001</v>
      </c>
      <c r="J13" s="43">
        <f>Measurement!I5</f>
        <v>10.287000000000001</v>
      </c>
      <c r="K13" s="43">
        <f>Measurement!I6</f>
        <v>10.273999999999999</v>
      </c>
      <c r="L13" s="43">
        <f>Measurement!I7</f>
        <v>9.86</v>
      </c>
      <c r="M13" s="44">
        <f>Measurement!I8</f>
        <v>9.6189999999999998</v>
      </c>
      <c r="N13" s="50"/>
      <c r="AA13" s="51"/>
    </row>
    <row r="14" spans="1:27" ht="20.100000000000001" customHeight="1">
      <c r="A14" s="42" t="s">
        <v>12</v>
      </c>
      <c r="B14" s="21"/>
      <c r="C14" s="47"/>
      <c r="D14" s="45"/>
      <c r="E14" s="45"/>
      <c r="F14" s="43"/>
      <c r="G14" s="43"/>
      <c r="H14" s="23"/>
      <c r="I14" s="43">
        <f>Measurement!J4</f>
        <v>6.6</v>
      </c>
      <c r="J14" s="43">
        <f>Measurement!J5</f>
        <v>6.6</v>
      </c>
      <c r="K14" s="43">
        <f>Measurement!J6</f>
        <v>6.52</v>
      </c>
      <c r="L14" s="43">
        <f>Measurement!J7</f>
        <v>6.7</v>
      </c>
      <c r="M14" s="44">
        <f>Measurement!J8</f>
        <v>6.64</v>
      </c>
      <c r="N14" s="50" t="s">
        <v>5</v>
      </c>
      <c r="AA14" s="51"/>
    </row>
    <row r="15" spans="1:27" ht="20.100000000000001" customHeight="1">
      <c r="A15" s="42" t="s">
        <v>13</v>
      </c>
      <c r="B15" s="21"/>
      <c r="C15" s="47"/>
      <c r="D15" s="45"/>
      <c r="E15" s="45"/>
      <c r="F15" s="43"/>
      <c r="G15" s="43"/>
      <c r="H15" s="23"/>
      <c r="I15" s="43">
        <f>Measurement!K4</f>
        <v>0.52200000000000002</v>
      </c>
      <c r="J15" s="43">
        <f>Measurement!K5</f>
        <v>0.56299999999999994</v>
      </c>
      <c r="K15" s="43">
        <f>Measurement!K6</f>
        <v>0.48599999999999999</v>
      </c>
      <c r="L15" s="43">
        <f>Measurement!K7</f>
        <v>0.6</v>
      </c>
      <c r="M15" s="44">
        <f>Measurement!K8</f>
        <v>0.442</v>
      </c>
      <c r="N15" s="50"/>
      <c r="AA15" s="51"/>
    </row>
    <row r="16" spans="1:27" ht="20.100000000000001" customHeight="1">
      <c r="A16" s="42" t="s">
        <v>14</v>
      </c>
      <c r="B16" s="21"/>
      <c r="C16" s="44"/>
      <c r="D16" s="44"/>
      <c r="E16" s="44"/>
      <c r="F16" s="43"/>
      <c r="G16" s="43"/>
      <c r="H16" s="23"/>
      <c r="I16" s="43">
        <f>Measurement!L4</f>
        <v>16.004999999999999</v>
      </c>
      <c r="J16" s="43">
        <f>Measurement!L5</f>
        <v>16.12</v>
      </c>
      <c r="K16" s="43">
        <f>Measurement!L6</f>
        <v>15.984999999999999</v>
      </c>
      <c r="L16" s="43">
        <f>Measurement!L7</f>
        <v>16.164999999999999</v>
      </c>
      <c r="M16" s="44">
        <f>Measurement!L8</f>
        <v>16.204999999999998</v>
      </c>
      <c r="N16" s="50"/>
      <c r="AA16" s="51"/>
    </row>
    <row r="17" spans="1:27" ht="20.100000000000001" customHeight="1">
      <c r="A17" s="42" t="s">
        <v>15</v>
      </c>
      <c r="B17" s="21"/>
      <c r="C17" s="46"/>
      <c r="D17" s="45"/>
      <c r="E17" s="43"/>
      <c r="F17" s="43"/>
      <c r="G17" s="43"/>
      <c r="H17" s="23"/>
      <c r="I17" s="43">
        <f>Measurement!M4</f>
        <v>0.41</v>
      </c>
      <c r="J17" s="43">
        <f>Measurement!M5</f>
        <v>0.45</v>
      </c>
      <c r="K17" s="43">
        <f>Measurement!M6</f>
        <v>0.4</v>
      </c>
      <c r="L17" s="43">
        <f>Measurement!M7</f>
        <v>0.5</v>
      </c>
      <c r="M17" s="44">
        <f>Measurement!M8</f>
        <v>0.32400000000000001</v>
      </c>
      <c r="N17" s="50"/>
      <c r="AA17" s="51"/>
    </row>
    <row r="18" spans="1:27" ht="20.100000000000001" customHeight="1">
      <c r="A18" s="42" t="s">
        <v>16</v>
      </c>
      <c r="B18" s="21"/>
      <c r="C18" s="47"/>
      <c r="D18" s="45"/>
      <c r="E18" s="45"/>
      <c r="F18" s="43"/>
      <c r="G18" s="43"/>
      <c r="H18" s="23"/>
      <c r="I18" s="43">
        <f>Measurement!N4</f>
        <v>13.425000000000001</v>
      </c>
      <c r="J18" s="43">
        <f>Measurement!N5</f>
        <v>13.48</v>
      </c>
      <c r="K18" s="43">
        <f>Measurement!N6</f>
        <v>13.601000000000001</v>
      </c>
      <c r="L18" s="43">
        <f>Measurement!N7</f>
        <v>13.44</v>
      </c>
      <c r="M18" s="44">
        <f>Measurement!N8</f>
        <v>13.45</v>
      </c>
      <c r="N18" s="50"/>
      <c r="AA18" s="51"/>
    </row>
    <row r="19" spans="1:27" ht="20.100000000000001" customHeight="1">
      <c r="A19" s="42" t="s">
        <v>17</v>
      </c>
      <c r="B19" s="21"/>
      <c r="C19" s="47"/>
      <c r="D19" s="45"/>
      <c r="E19" s="45"/>
      <c r="F19" s="43"/>
      <c r="G19" s="43"/>
      <c r="H19" s="23"/>
      <c r="I19" s="43">
        <f>Measurement!O4</f>
        <v>10.07</v>
      </c>
      <c r="J19" s="43">
        <f>Measurement!O5</f>
        <v>10.025</v>
      </c>
      <c r="K19" s="43">
        <f>Measurement!O6</f>
        <v>10.045</v>
      </c>
      <c r="L19" s="43">
        <f>Measurement!O7</f>
        <v>10.234999999999999</v>
      </c>
      <c r="M19" s="44">
        <f>Measurement!O8</f>
        <v>10.105</v>
      </c>
      <c r="N19" s="50"/>
      <c r="AA19" s="51"/>
    </row>
    <row r="20" spans="1:27" ht="20.100000000000001" customHeight="1">
      <c r="A20" s="42" t="s">
        <v>47</v>
      </c>
      <c r="B20" s="21"/>
      <c r="C20" s="47"/>
      <c r="D20" s="45"/>
      <c r="E20" s="45"/>
      <c r="F20" s="43"/>
      <c r="G20" s="43"/>
      <c r="H20" s="23"/>
      <c r="I20" s="43">
        <f>Measurement!P4</f>
        <v>0</v>
      </c>
      <c r="J20" s="43">
        <f>Measurement!P5</f>
        <v>0</v>
      </c>
      <c r="K20" s="43">
        <f>Measurement!P6</f>
        <v>0</v>
      </c>
      <c r="L20" s="43">
        <f>Measurement!P7</f>
        <v>0</v>
      </c>
      <c r="M20" s="44">
        <f>Measurement!P8</f>
        <v>0</v>
      </c>
      <c r="N20" s="50"/>
      <c r="AA20" s="51"/>
    </row>
    <row r="21" spans="1:27" ht="20.100000000000001" customHeight="1">
      <c r="A21" s="42" t="s">
        <v>48</v>
      </c>
      <c r="B21" s="21"/>
      <c r="C21" s="44"/>
      <c r="D21" s="44"/>
      <c r="E21" s="44"/>
      <c r="F21" s="43"/>
      <c r="G21" s="43"/>
      <c r="H21" s="23"/>
      <c r="I21" s="43"/>
      <c r="J21" s="43"/>
      <c r="K21" s="43"/>
      <c r="L21" s="43"/>
      <c r="M21" s="44"/>
      <c r="N21" s="50"/>
      <c r="Q21" s="17" t="s">
        <v>4</v>
      </c>
      <c r="AA21" s="51"/>
    </row>
    <row r="22" spans="1:27" ht="20.100000000000001" customHeight="1">
      <c r="A22" s="42" t="s">
        <v>49</v>
      </c>
      <c r="B22" s="21"/>
      <c r="C22" s="46"/>
      <c r="D22" s="44"/>
      <c r="E22" s="43"/>
      <c r="F22" s="43"/>
      <c r="G22" s="43"/>
      <c r="H22" s="23"/>
      <c r="I22" s="43"/>
      <c r="J22" s="43"/>
      <c r="K22" s="43"/>
      <c r="L22" s="43"/>
      <c r="M22" s="44"/>
      <c r="N22" s="53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5"/>
    </row>
    <row r="23" spans="1:27" ht="20.100000000000001" customHeight="1">
      <c r="A23" s="25"/>
      <c r="B23" s="24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27" ht="20.100000000000001" customHeight="1">
      <c r="A24" s="25"/>
      <c r="B24" s="24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spans="1:27" ht="20.100000000000001" customHeight="1">
      <c r="A25" s="27"/>
      <c r="B25" s="28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27" ht="20.100000000000001" customHeight="1">
      <c r="A26" s="25"/>
      <c r="B26" s="24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27">
      <c r="A27" s="25"/>
      <c r="B27" s="24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27">
      <c r="A28" s="25"/>
      <c r="B28" s="24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spans="1:27">
      <c r="A29" s="25"/>
      <c r="B29" s="24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27">
      <c r="A30" s="25"/>
      <c r="B30" s="24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27">
      <c r="A31" s="25"/>
      <c r="B31" s="24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27">
      <c r="A32" s="25"/>
      <c r="B32" s="24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>
      <c r="A33" s="25"/>
      <c r="B33" s="24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>
      <c r="A34" s="25"/>
      <c r="B34" s="24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>
      <c r="A35" s="25"/>
      <c r="B35" s="24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>
      <c r="A36" s="25"/>
      <c r="B36" s="24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>
      <c r="A37" s="25"/>
      <c r="B37" s="24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>
      <c r="A38" s="25"/>
      <c r="B38" s="24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>
      <c r="A39" s="25"/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</row>
  </sheetData>
  <mergeCells count="1">
    <mergeCell ref="A1:M1"/>
  </mergeCells>
  <phoneticPr fontId="13" type="noConversion"/>
  <conditionalFormatting sqref="I7:M22">
    <cfRule type="expression" dxfId="1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P15" sqref="P15"/>
    </sheetView>
  </sheetViews>
  <sheetFormatPr defaultColWidth="9" defaultRowHeight="11.25"/>
  <cols>
    <col min="1" max="1" width="3.7109375" style="73" customWidth="1"/>
    <col min="2" max="2" width="7.7109375" style="89" customWidth="1"/>
    <col min="3" max="3" width="6.7109375" style="89" customWidth="1"/>
    <col min="4" max="5" width="7.7109375" style="73" customWidth="1"/>
    <col min="6" max="7" width="5.7109375" style="73" customWidth="1"/>
    <col min="8" max="8" width="9.7109375" style="73" customWidth="1"/>
    <col min="9" max="13" width="5.7109375" style="73" customWidth="1"/>
    <col min="14" max="16384" width="9" style="73"/>
  </cols>
  <sheetData>
    <row r="1" spans="1:22" ht="42" customHeight="1">
      <c r="A1" s="109" t="s">
        <v>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70"/>
      <c r="O1" s="71"/>
      <c r="P1" s="71"/>
      <c r="Q1" s="71"/>
      <c r="R1" s="71"/>
      <c r="S1" s="71"/>
      <c r="T1" s="71"/>
      <c r="U1" s="71"/>
      <c r="V1" s="72"/>
    </row>
    <row r="2" spans="1:22" ht="26.45" customHeight="1">
      <c r="A2" s="93" t="s">
        <v>3</v>
      </c>
      <c r="B2" s="94"/>
      <c r="C2" s="94"/>
      <c r="J2" s="95" t="s">
        <v>41</v>
      </c>
      <c r="K2" s="90" t="s">
        <v>51</v>
      </c>
      <c r="L2" s="92"/>
      <c r="M2" s="75"/>
      <c r="N2" s="76"/>
      <c r="V2" s="77"/>
    </row>
    <row r="3" spans="1:22" ht="26.45" customHeight="1">
      <c r="A3" s="35" t="s">
        <v>40</v>
      </c>
      <c r="B3" s="94"/>
      <c r="C3" s="94"/>
      <c r="J3" s="74" t="s">
        <v>42</v>
      </c>
      <c r="K3" s="90">
        <v>10011</v>
      </c>
      <c r="L3" s="92"/>
      <c r="M3" s="75"/>
      <c r="N3" s="76"/>
      <c r="V3" s="77"/>
    </row>
    <row r="4" spans="1:22" ht="26.45" customHeight="1">
      <c r="B4" s="73"/>
      <c r="C4" s="78"/>
      <c r="D4" s="78"/>
      <c r="J4" s="74" t="s">
        <v>43</v>
      </c>
      <c r="K4" s="74" t="s">
        <v>45</v>
      </c>
      <c r="N4" s="76"/>
      <c r="V4" s="77"/>
    </row>
    <row r="5" spans="1:22" ht="26.45" customHeight="1">
      <c r="A5" s="91"/>
      <c r="B5" s="94"/>
      <c r="C5" s="94"/>
      <c r="N5" s="76"/>
      <c r="V5" s="77"/>
    </row>
    <row r="6" spans="1:22" ht="30" customHeight="1">
      <c r="A6" s="79" t="s">
        <v>18</v>
      </c>
      <c r="B6" s="96" t="s">
        <v>19</v>
      </c>
      <c r="C6" s="96" t="s">
        <v>20</v>
      </c>
      <c r="D6" s="80" t="s">
        <v>37</v>
      </c>
      <c r="E6" s="80" t="s">
        <v>38</v>
      </c>
      <c r="F6" s="79" t="s">
        <v>21</v>
      </c>
      <c r="G6" s="79" t="s">
        <v>22</v>
      </c>
      <c r="H6" s="79" t="s">
        <v>23</v>
      </c>
      <c r="I6" s="79" t="s">
        <v>24</v>
      </c>
      <c r="J6" s="79" t="s">
        <v>25</v>
      </c>
      <c r="K6" s="79" t="s">
        <v>26</v>
      </c>
      <c r="L6" s="79" t="s">
        <v>27</v>
      </c>
      <c r="M6" s="79" t="s">
        <v>28</v>
      </c>
      <c r="N6" s="81"/>
      <c r="V6" s="77"/>
    </row>
    <row r="7" spans="1:22" ht="20.100000000000001" customHeight="1">
      <c r="A7" s="74" t="s">
        <v>0</v>
      </c>
      <c r="B7" s="97" t="s">
        <v>30</v>
      </c>
      <c r="C7" s="82">
        <v>0.13</v>
      </c>
      <c r="D7" s="82">
        <v>0.01</v>
      </c>
      <c r="E7" s="82">
        <v>0.01</v>
      </c>
      <c r="F7" s="82">
        <f>C7+D7</f>
        <v>0.14000000000000001</v>
      </c>
      <c r="G7" s="82">
        <f>C7-E7</f>
        <v>0.12000000000000001</v>
      </c>
      <c r="H7" s="74" t="s">
        <v>35</v>
      </c>
      <c r="I7" s="82">
        <f>Measurement!C4</f>
        <v>37.93</v>
      </c>
      <c r="J7" s="82">
        <f>Measurement!C5</f>
        <v>38.01</v>
      </c>
      <c r="K7" s="82">
        <f>Measurement!C6</f>
        <v>38.06</v>
      </c>
      <c r="L7" s="82">
        <f>Measurement!C7</f>
        <v>38.07</v>
      </c>
      <c r="M7" s="82">
        <f>Measurement!C8</f>
        <v>38.020000000000003</v>
      </c>
      <c r="N7" s="76"/>
      <c r="V7" s="77"/>
    </row>
    <row r="8" spans="1:22" ht="20.100000000000001" customHeight="1">
      <c r="A8" s="74" t="s">
        <v>1</v>
      </c>
      <c r="B8" s="97" t="s">
        <v>30</v>
      </c>
      <c r="C8" s="82">
        <v>2.5</v>
      </c>
      <c r="D8" s="82">
        <v>0.01</v>
      </c>
      <c r="E8" s="82">
        <v>0.01</v>
      </c>
      <c r="F8" s="82">
        <f t="shared" ref="F8:F20" si="0">C8+D8</f>
        <v>2.5099999999999998</v>
      </c>
      <c r="G8" s="82">
        <f t="shared" ref="G8:G20" si="1">C8-E8</f>
        <v>2.4900000000000002</v>
      </c>
      <c r="H8" s="74" t="s">
        <v>35</v>
      </c>
      <c r="I8" s="82">
        <f>Measurement!D4</f>
        <v>37.909999999999997</v>
      </c>
      <c r="J8" s="82">
        <f>Measurement!D5</f>
        <v>37.96</v>
      </c>
      <c r="K8" s="82">
        <f>Measurement!D6</f>
        <v>38.03</v>
      </c>
      <c r="L8" s="82">
        <f>Measurement!D7</f>
        <v>37.94</v>
      </c>
      <c r="M8" s="82">
        <f>Measurement!D8</f>
        <v>37.79</v>
      </c>
      <c r="N8" s="76"/>
      <c r="V8" s="77"/>
    </row>
    <row r="9" spans="1:22" ht="20.100000000000001" customHeight="1">
      <c r="A9" s="74" t="s">
        <v>6</v>
      </c>
      <c r="B9" s="97" t="s">
        <v>30</v>
      </c>
      <c r="C9" s="82">
        <v>2.5</v>
      </c>
      <c r="D9" s="82">
        <v>0.01</v>
      </c>
      <c r="E9" s="82">
        <v>0.01</v>
      </c>
      <c r="F9" s="82">
        <f t="shared" si="0"/>
        <v>2.5099999999999998</v>
      </c>
      <c r="G9" s="82">
        <f t="shared" si="1"/>
        <v>2.4900000000000002</v>
      </c>
      <c r="H9" s="74" t="s">
        <v>35</v>
      </c>
      <c r="I9" s="82">
        <f>Measurement!E4</f>
        <v>1.01</v>
      </c>
      <c r="J9" s="82">
        <f>Measurement!E5</f>
        <v>1.02</v>
      </c>
      <c r="K9" s="82">
        <f>Measurement!E6</f>
        <v>1.05</v>
      </c>
      <c r="L9" s="82">
        <f>Measurement!E7</f>
        <v>1</v>
      </c>
      <c r="M9" s="82">
        <f>Measurement!E8</f>
        <v>1</v>
      </c>
      <c r="N9" s="76"/>
      <c r="V9" s="77"/>
    </row>
    <row r="10" spans="1:22" ht="20.100000000000001" customHeight="1">
      <c r="A10" s="74" t="s">
        <v>8</v>
      </c>
      <c r="B10" s="97" t="s">
        <v>30</v>
      </c>
      <c r="C10" s="82">
        <v>0.13</v>
      </c>
      <c r="D10" s="82">
        <v>0.01</v>
      </c>
      <c r="E10" s="82">
        <v>0.01</v>
      </c>
      <c r="F10" s="82">
        <f t="shared" si="0"/>
        <v>0.14000000000000001</v>
      </c>
      <c r="G10" s="82">
        <f t="shared" si="1"/>
        <v>0.12000000000000001</v>
      </c>
      <c r="H10" s="74" t="s">
        <v>35</v>
      </c>
      <c r="I10" s="82">
        <f>Measurement!F4</f>
        <v>5.66</v>
      </c>
      <c r="J10" s="82">
        <f>Measurement!F5</f>
        <v>5.5830000000000002</v>
      </c>
      <c r="K10" s="82">
        <f>Measurement!F6</f>
        <v>5.6</v>
      </c>
      <c r="L10" s="82">
        <f>Measurement!F7</f>
        <v>5.5860000000000003</v>
      </c>
      <c r="M10" s="82">
        <f>Measurement!F8</f>
        <v>5.5880000000000001</v>
      </c>
      <c r="N10" s="76"/>
      <c r="V10" s="77"/>
    </row>
    <row r="11" spans="1:22" ht="20.100000000000001" customHeight="1">
      <c r="A11" s="74" t="s">
        <v>9</v>
      </c>
      <c r="B11" s="97" t="s">
        <v>30</v>
      </c>
      <c r="C11" s="82">
        <v>5</v>
      </c>
      <c r="D11" s="82">
        <v>0.01</v>
      </c>
      <c r="E11" s="82">
        <v>0.01</v>
      </c>
      <c r="F11" s="82">
        <f t="shared" si="0"/>
        <v>5.01</v>
      </c>
      <c r="G11" s="82">
        <f t="shared" si="1"/>
        <v>4.99</v>
      </c>
      <c r="H11" s="74" t="s">
        <v>35</v>
      </c>
      <c r="I11" s="82">
        <f>Measurement!G4</f>
        <v>5.0179999999999998</v>
      </c>
      <c r="J11" s="82">
        <f>Measurement!G5</f>
        <v>4.9889999999999999</v>
      </c>
      <c r="K11" s="82">
        <f>Measurement!G6</f>
        <v>4.8979999999999997</v>
      </c>
      <c r="L11" s="82">
        <f>Measurement!G7</f>
        <v>5.1539999999999999</v>
      </c>
      <c r="M11" s="82">
        <f>Measurement!G8</f>
        <v>5.0060000000000002</v>
      </c>
      <c r="N11" s="76"/>
      <c r="V11" s="77"/>
    </row>
    <row r="12" spans="1:22" ht="20.100000000000001" customHeight="1">
      <c r="A12" s="74" t="s">
        <v>10</v>
      </c>
      <c r="B12" s="97" t="s">
        <v>30</v>
      </c>
      <c r="C12" s="82">
        <v>5</v>
      </c>
      <c r="D12" s="82">
        <v>0.01</v>
      </c>
      <c r="E12" s="82">
        <v>0.01</v>
      </c>
      <c r="F12" s="82">
        <f t="shared" si="0"/>
        <v>5.01</v>
      </c>
      <c r="G12" s="82">
        <f t="shared" si="1"/>
        <v>4.99</v>
      </c>
      <c r="H12" s="74" t="s">
        <v>35</v>
      </c>
      <c r="I12" s="82">
        <f>Measurement!H4</f>
        <v>27.931000000000001</v>
      </c>
      <c r="J12" s="82">
        <f>Measurement!H5</f>
        <v>28.004000000000001</v>
      </c>
      <c r="K12" s="82">
        <f>Measurement!H6</f>
        <v>27.972000000000001</v>
      </c>
      <c r="L12" s="82">
        <f>Measurement!H7</f>
        <v>27.965</v>
      </c>
      <c r="M12" s="82">
        <f>Measurement!H8</f>
        <v>27.952999999999999</v>
      </c>
      <c r="N12" s="76"/>
      <c r="V12" s="77"/>
    </row>
    <row r="13" spans="1:22" ht="20.100000000000001" customHeight="1">
      <c r="A13" s="74" t="s">
        <v>11</v>
      </c>
      <c r="B13" s="97" t="s">
        <v>31</v>
      </c>
      <c r="C13" s="82">
        <v>2.5</v>
      </c>
      <c r="D13" s="82">
        <v>0.01</v>
      </c>
      <c r="E13" s="82">
        <v>0.01</v>
      </c>
      <c r="F13" s="82">
        <f t="shared" si="0"/>
        <v>2.5099999999999998</v>
      </c>
      <c r="G13" s="82">
        <f t="shared" si="1"/>
        <v>2.4900000000000002</v>
      </c>
      <c r="H13" s="74" t="s">
        <v>35</v>
      </c>
      <c r="I13" s="82">
        <f>Measurement!I4</f>
        <v>10.284000000000001</v>
      </c>
      <c r="J13" s="82">
        <f>Measurement!I5</f>
        <v>10.287000000000001</v>
      </c>
      <c r="K13" s="82">
        <f>Measurement!I6</f>
        <v>10.273999999999999</v>
      </c>
      <c r="L13" s="82">
        <f>Measurement!I7</f>
        <v>9.86</v>
      </c>
      <c r="M13" s="82">
        <f>Measurement!I8</f>
        <v>9.6189999999999998</v>
      </c>
      <c r="N13" s="76"/>
      <c r="V13" s="77"/>
    </row>
    <row r="14" spans="1:22" ht="20.100000000000001" customHeight="1">
      <c r="A14" s="74" t="s">
        <v>12</v>
      </c>
      <c r="B14" s="97" t="s">
        <v>32</v>
      </c>
      <c r="C14" s="82">
        <v>1</v>
      </c>
      <c r="D14" s="82">
        <v>0.01</v>
      </c>
      <c r="E14" s="82">
        <v>0.01</v>
      </c>
      <c r="F14" s="82">
        <f t="shared" si="0"/>
        <v>1.01</v>
      </c>
      <c r="G14" s="82">
        <f t="shared" si="1"/>
        <v>0.99</v>
      </c>
      <c r="H14" s="74" t="s">
        <v>35</v>
      </c>
      <c r="I14" s="82">
        <f>Measurement!J4</f>
        <v>6.6</v>
      </c>
      <c r="J14" s="82">
        <f>Measurement!J5</f>
        <v>6.6</v>
      </c>
      <c r="K14" s="82">
        <f>Measurement!J6</f>
        <v>6.52</v>
      </c>
      <c r="L14" s="82">
        <f>Measurement!J7</f>
        <v>6.7</v>
      </c>
      <c r="M14" s="82">
        <f>Measurement!J8</f>
        <v>6.64</v>
      </c>
      <c r="N14" s="76" t="s">
        <v>5</v>
      </c>
      <c r="V14" s="77"/>
    </row>
    <row r="15" spans="1:22" ht="20.100000000000001" customHeight="1">
      <c r="A15" s="74" t="s">
        <v>13</v>
      </c>
      <c r="B15" s="97" t="s">
        <v>32</v>
      </c>
      <c r="C15" s="82">
        <v>1</v>
      </c>
      <c r="D15" s="82">
        <v>0.01</v>
      </c>
      <c r="E15" s="82">
        <v>0.01</v>
      </c>
      <c r="F15" s="82">
        <f t="shared" si="0"/>
        <v>1.01</v>
      </c>
      <c r="G15" s="82">
        <f t="shared" si="1"/>
        <v>0.99</v>
      </c>
      <c r="H15" s="74" t="s">
        <v>35</v>
      </c>
      <c r="I15" s="82">
        <f>Measurement!K4</f>
        <v>0.52200000000000002</v>
      </c>
      <c r="J15" s="82">
        <f>Measurement!K5</f>
        <v>0.56299999999999994</v>
      </c>
      <c r="K15" s="82">
        <f>Measurement!K6</f>
        <v>0.48599999999999999</v>
      </c>
      <c r="L15" s="82">
        <f>Measurement!K7</f>
        <v>0.6</v>
      </c>
      <c r="M15" s="82">
        <f>Measurement!K8</f>
        <v>0.442</v>
      </c>
      <c r="N15" s="76"/>
      <c r="V15" s="77"/>
    </row>
    <row r="16" spans="1:22" ht="20.100000000000001" customHeight="1">
      <c r="A16" s="74" t="s">
        <v>14</v>
      </c>
      <c r="B16" s="97" t="s">
        <v>32</v>
      </c>
      <c r="C16" s="82">
        <v>1</v>
      </c>
      <c r="D16" s="82">
        <v>0.01</v>
      </c>
      <c r="E16" s="82">
        <v>0.01</v>
      </c>
      <c r="F16" s="82">
        <f t="shared" si="0"/>
        <v>1.01</v>
      </c>
      <c r="G16" s="82">
        <f t="shared" si="1"/>
        <v>0.99</v>
      </c>
      <c r="H16" s="74" t="s">
        <v>35</v>
      </c>
      <c r="I16" s="82">
        <f>Measurement!L4</f>
        <v>16.004999999999999</v>
      </c>
      <c r="J16" s="82">
        <f>Measurement!L5</f>
        <v>16.12</v>
      </c>
      <c r="K16" s="82">
        <f>Measurement!L6</f>
        <v>15.984999999999999</v>
      </c>
      <c r="L16" s="82">
        <f>Measurement!L7</f>
        <v>16.164999999999999</v>
      </c>
      <c r="M16" s="82">
        <f>Measurement!L8</f>
        <v>16.204999999999998</v>
      </c>
      <c r="N16" s="76"/>
      <c r="V16" s="77"/>
    </row>
    <row r="17" spans="1:22" ht="20.100000000000001" customHeight="1">
      <c r="A17" s="74" t="s">
        <v>15</v>
      </c>
      <c r="B17" s="97" t="s">
        <v>32</v>
      </c>
      <c r="C17" s="82">
        <v>1</v>
      </c>
      <c r="D17" s="82">
        <v>0.01</v>
      </c>
      <c r="E17" s="82">
        <v>0.01</v>
      </c>
      <c r="F17" s="82">
        <f t="shared" si="0"/>
        <v>1.01</v>
      </c>
      <c r="G17" s="82">
        <f t="shared" si="1"/>
        <v>0.99</v>
      </c>
      <c r="H17" s="74" t="s">
        <v>35</v>
      </c>
      <c r="I17" s="82">
        <f>Measurement!M4</f>
        <v>0.41</v>
      </c>
      <c r="J17" s="82">
        <f>Measurement!M5</f>
        <v>0.45</v>
      </c>
      <c r="K17" s="82">
        <f>Measurement!M6</f>
        <v>0.4</v>
      </c>
      <c r="L17" s="82">
        <f>Measurement!M7</f>
        <v>0.5</v>
      </c>
      <c r="M17" s="82">
        <f>Measurement!M8</f>
        <v>0.32400000000000001</v>
      </c>
      <c r="N17" s="76"/>
      <c r="V17" s="77"/>
    </row>
    <row r="18" spans="1:22" ht="20.100000000000001" customHeight="1">
      <c r="A18" s="74" t="s">
        <v>16</v>
      </c>
      <c r="B18" s="97" t="s">
        <v>33</v>
      </c>
      <c r="C18" s="82">
        <v>0.125</v>
      </c>
      <c r="D18" s="82">
        <v>5.0000000000000001E-3</v>
      </c>
      <c r="E18" s="82">
        <v>5.0000000000000001E-3</v>
      </c>
      <c r="F18" s="82">
        <f t="shared" si="0"/>
        <v>0.13</v>
      </c>
      <c r="G18" s="82">
        <f t="shared" si="1"/>
        <v>0.12</v>
      </c>
      <c r="H18" s="74" t="s">
        <v>36</v>
      </c>
      <c r="I18" s="82">
        <f>Measurement!N4</f>
        <v>13.425000000000001</v>
      </c>
      <c r="J18" s="82">
        <f>Measurement!N5</f>
        <v>13.48</v>
      </c>
      <c r="K18" s="82">
        <f>Measurement!N6</f>
        <v>13.601000000000001</v>
      </c>
      <c r="L18" s="82">
        <f>Measurement!N7</f>
        <v>13.44</v>
      </c>
      <c r="M18" s="82">
        <f>Measurement!N8</f>
        <v>13.45</v>
      </c>
      <c r="N18" s="76"/>
      <c r="V18" s="77"/>
    </row>
    <row r="19" spans="1:22" ht="20.100000000000001" customHeight="1">
      <c r="A19" s="74" t="s">
        <v>17</v>
      </c>
      <c r="B19" s="97" t="s">
        <v>30</v>
      </c>
      <c r="C19" s="82">
        <v>6.3E-2</v>
      </c>
      <c r="D19" s="82">
        <v>5.0000000000000001E-3</v>
      </c>
      <c r="E19" s="82">
        <v>5.0000000000000001E-3</v>
      </c>
      <c r="F19" s="82">
        <f t="shared" si="0"/>
        <v>6.8000000000000005E-2</v>
      </c>
      <c r="G19" s="82">
        <f t="shared" si="1"/>
        <v>5.8000000000000003E-2</v>
      </c>
      <c r="H19" s="74" t="s">
        <v>35</v>
      </c>
      <c r="I19" s="82">
        <f>Measurement!O4</f>
        <v>10.07</v>
      </c>
      <c r="J19" s="82">
        <f>Measurement!O5</f>
        <v>10.025</v>
      </c>
      <c r="K19" s="82">
        <f>Measurement!O6</f>
        <v>10.045</v>
      </c>
      <c r="L19" s="82">
        <f>Measurement!O7</f>
        <v>10.234999999999999</v>
      </c>
      <c r="M19" s="82">
        <f>Measurement!O8</f>
        <v>10.105</v>
      </c>
      <c r="N19" s="76"/>
      <c r="V19" s="77"/>
    </row>
    <row r="20" spans="1:22" ht="20.100000000000001" customHeight="1">
      <c r="A20" s="74" t="s">
        <v>47</v>
      </c>
      <c r="B20" s="97" t="s">
        <v>30</v>
      </c>
      <c r="C20" s="82">
        <v>0.125</v>
      </c>
      <c r="D20" s="82">
        <v>5.0000000000000001E-3</v>
      </c>
      <c r="E20" s="82">
        <v>5.0000000000000001E-3</v>
      </c>
      <c r="F20" s="82">
        <f t="shared" si="0"/>
        <v>0.13</v>
      </c>
      <c r="G20" s="82">
        <f t="shared" si="1"/>
        <v>0.12</v>
      </c>
      <c r="H20" s="74" t="s">
        <v>35</v>
      </c>
      <c r="I20" s="82">
        <f>Measurement!P4</f>
        <v>0</v>
      </c>
      <c r="J20" s="82">
        <f>Measurement!P5</f>
        <v>0</v>
      </c>
      <c r="K20" s="82">
        <f>Measurement!P6</f>
        <v>0</v>
      </c>
      <c r="L20" s="82">
        <f>Measurement!P7</f>
        <v>0</v>
      </c>
      <c r="M20" s="82">
        <f>Measurement!P8</f>
        <v>0</v>
      </c>
      <c r="N20" s="76"/>
      <c r="V20" s="77"/>
    </row>
    <row r="21" spans="1:22" ht="20.100000000000001" customHeight="1">
      <c r="A21" s="86"/>
      <c r="B21" s="78"/>
      <c r="C21" s="78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76"/>
      <c r="V21" s="77"/>
    </row>
    <row r="22" spans="1:22" ht="20.100000000000001" customHeight="1">
      <c r="A22" s="86"/>
      <c r="B22" s="78"/>
      <c r="C22" s="78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76"/>
      <c r="V22" s="77"/>
    </row>
    <row r="23" spans="1:22" ht="20.100000000000001" customHeight="1">
      <c r="A23" s="87"/>
      <c r="B23" s="88"/>
      <c r="C23" s="78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76"/>
      <c r="V23" s="77"/>
    </row>
    <row r="24" spans="1:22" ht="20.100000000000001" customHeight="1">
      <c r="A24" s="86"/>
      <c r="B24" s="78"/>
      <c r="C24" s="78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76"/>
      <c r="V24" s="77"/>
    </row>
    <row r="25" spans="1:22" ht="20.100000000000001" customHeight="1">
      <c r="A25" s="86"/>
      <c r="B25" s="78"/>
      <c r="C25" s="78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76"/>
      <c r="V25" s="77"/>
    </row>
    <row r="26" spans="1:22" ht="20.100000000000001" customHeight="1">
      <c r="A26" s="86"/>
      <c r="B26" s="78"/>
      <c r="C26" s="78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76"/>
      <c r="V26" s="77"/>
    </row>
    <row r="27" spans="1:22" ht="20.100000000000001" customHeight="1">
      <c r="A27" s="86"/>
      <c r="B27" s="78"/>
      <c r="C27" s="78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76"/>
      <c r="V27" s="77"/>
    </row>
    <row r="28" spans="1:22" ht="20.100000000000001" customHeight="1">
      <c r="A28" s="86"/>
      <c r="B28" s="78"/>
      <c r="C28" s="78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76"/>
      <c r="V28" s="77"/>
    </row>
    <row r="29" spans="1:22" ht="20.100000000000001" customHeight="1">
      <c r="A29" s="86"/>
      <c r="B29" s="78"/>
      <c r="C29" s="78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76"/>
      <c r="V29" s="77"/>
    </row>
    <row r="30" spans="1:22" ht="20.100000000000001" customHeight="1">
      <c r="A30" s="86"/>
      <c r="B30" s="78"/>
      <c r="C30" s="78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76"/>
      <c r="V30" s="77"/>
    </row>
    <row r="31" spans="1:22" ht="20.100000000000001" customHeight="1">
      <c r="A31" s="86"/>
      <c r="B31" s="78"/>
      <c r="C31" s="78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76"/>
      <c r="V31" s="77"/>
    </row>
    <row r="32" spans="1:22" ht="20.100000000000001" customHeight="1">
      <c r="A32" s="86"/>
      <c r="B32" s="78"/>
      <c r="C32" s="78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76"/>
      <c r="V32" s="77"/>
    </row>
    <row r="33" spans="1:22" ht="20.100000000000001" customHeight="1">
      <c r="A33" s="86"/>
      <c r="B33" s="78"/>
      <c r="C33" s="78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76"/>
      <c r="V33" s="77"/>
    </row>
    <row r="34" spans="1:22" ht="20.100000000000001" customHeight="1">
      <c r="A34" s="86"/>
      <c r="B34" s="78"/>
      <c r="C34" s="78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76"/>
      <c r="V34" s="77"/>
    </row>
    <row r="35" spans="1:22" ht="20.100000000000001" customHeight="1">
      <c r="A35" s="86"/>
      <c r="B35" s="78"/>
      <c r="C35" s="78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76"/>
      <c r="V35" s="77"/>
    </row>
    <row r="36" spans="1:22" ht="20.100000000000001" customHeight="1">
      <c r="A36" s="86"/>
      <c r="B36" s="78"/>
      <c r="C36" s="78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76"/>
      <c r="V36" s="77"/>
    </row>
    <row r="37" spans="1:22" ht="20.100000000000001" customHeight="1">
      <c r="A37" s="86"/>
      <c r="B37" s="78"/>
      <c r="C37" s="78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76"/>
      <c r="V37" s="77"/>
    </row>
    <row r="38" spans="1:22" ht="20.100000000000001" customHeight="1">
      <c r="N38" s="76"/>
      <c r="V38" s="77"/>
    </row>
    <row r="39" spans="1:22" ht="20.100000000000001" customHeight="1">
      <c r="N39" s="76"/>
      <c r="V39" s="77"/>
    </row>
    <row r="40" spans="1:22" ht="20.100000000000001" customHeight="1">
      <c r="N40" s="76"/>
      <c r="V40" s="77"/>
    </row>
    <row r="41" spans="1:22" ht="20.100000000000001" customHeight="1">
      <c r="N41" s="76"/>
      <c r="V41" s="77"/>
    </row>
    <row r="42" spans="1:22" ht="20.100000000000001" customHeight="1">
      <c r="N42" s="76"/>
      <c r="V42" s="77"/>
    </row>
    <row r="43" spans="1:22" ht="20.100000000000001" customHeight="1">
      <c r="N43" s="76"/>
      <c r="V43" s="77"/>
    </row>
    <row r="44" spans="1:22" ht="20.100000000000001" customHeight="1">
      <c r="N44" s="83"/>
      <c r="O44" s="84"/>
      <c r="P44" s="84"/>
      <c r="Q44" s="84"/>
      <c r="R44" s="84"/>
      <c r="S44" s="84"/>
      <c r="T44" s="84"/>
      <c r="U44" s="84"/>
      <c r="V44" s="85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0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K4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56" customWidth="1"/>
  </cols>
  <sheetData>
    <row r="1" spans="2:4" ht="30" customHeight="1">
      <c r="B1" s="69" t="s">
        <v>29</v>
      </c>
      <c r="C1" s="69" t="s">
        <v>34</v>
      </c>
      <c r="D1" s="69" t="s">
        <v>44</v>
      </c>
    </row>
    <row r="2" spans="2:4">
      <c r="B2" s="56" t="s">
        <v>30</v>
      </c>
      <c r="C2" s="56" t="s">
        <v>35</v>
      </c>
      <c r="D2" s="56" t="s">
        <v>45</v>
      </c>
    </row>
    <row r="3" spans="2:4">
      <c r="B3" s="56" t="s">
        <v>31</v>
      </c>
      <c r="C3" s="56" t="s">
        <v>36</v>
      </c>
      <c r="D3" s="56" t="s">
        <v>46</v>
      </c>
    </row>
    <row r="4" spans="2:4">
      <c r="B4" s="56" t="s">
        <v>32</v>
      </c>
    </row>
    <row r="5" spans="2:4">
      <c r="B5" s="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</vt:lpstr>
      <vt:lpstr>FAR-v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2026-01-05T21:07:14Z</cp:lastPrinted>
  <dcterms:created xsi:type="dcterms:W3CDTF">2020-11-06T07:08:00Z</dcterms:created>
  <dcterms:modified xsi:type="dcterms:W3CDTF">2026-01-05T21:43:14Z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