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328-0196 probe pin collar\328-0196-000\"/>
    </mc:Choice>
  </mc:AlternateContent>
  <xr:revisionPtr revIDLastSave="0" documentId="13_ncr:1_{112FBED2-8DA4-468A-A380-F48026E970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ment" sheetId="23" r:id="rId1"/>
    <sheet name="FAR" sheetId="18" r:id="rId2"/>
    <sheet name="FAR-v" sheetId="24" r:id="rId3"/>
    <sheet name="Source" sheetId="19" r:id="rId4"/>
  </sheets>
  <definedNames>
    <definedName name="_xlnm._FilterDatabase" localSheetId="1" hidden="1">FAR!$A$6:$M$11</definedName>
    <definedName name="_xlnm._FilterDatabase" localSheetId="2" hidden="1">'FAR-v'!$A$6:$M$11</definedName>
    <definedName name="_xlnm.Print_Area" localSheetId="1">FAR!$A$1:$AA$22</definedName>
    <definedName name="_xlnm.Print_Area" localSheetId="2">'FAR-v'!$A$1:$V$44</definedName>
    <definedName name="_xlnm.Print_Area" localSheetId="0">Measurement!$B$1:$P$25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4" l="1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G7" i="24"/>
  <c r="F7" i="24"/>
  <c r="M20" i="24"/>
  <c r="L20" i="24"/>
  <c r="K20" i="24"/>
  <c r="J20" i="24"/>
  <c r="I20" i="24"/>
  <c r="M19" i="24"/>
  <c r="L19" i="24"/>
  <c r="K19" i="24"/>
  <c r="J19" i="24"/>
  <c r="I19" i="24"/>
  <c r="M18" i="24"/>
  <c r="L18" i="24"/>
  <c r="K18" i="24"/>
  <c r="J18" i="24"/>
  <c r="I18" i="24"/>
  <c r="M17" i="24"/>
  <c r="L17" i="24"/>
  <c r="K17" i="24"/>
  <c r="J17" i="24"/>
  <c r="I17" i="24"/>
  <c r="M16" i="24"/>
  <c r="L16" i="24"/>
  <c r="K16" i="24"/>
  <c r="J16" i="24"/>
  <c r="I16" i="24"/>
  <c r="M15" i="24"/>
  <c r="L15" i="24"/>
  <c r="K15" i="24"/>
  <c r="J15" i="24"/>
  <c r="I15" i="24"/>
  <c r="M14" i="24"/>
  <c r="L14" i="24"/>
  <c r="K14" i="24"/>
  <c r="J14" i="24"/>
  <c r="I14" i="24"/>
  <c r="M13" i="24"/>
  <c r="L13" i="24"/>
  <c r="K13" i="24"/>
  <c r="J13" i="24"/>
  <c r="I13" i="24"/>
  <c r="M12" i="24"/>
  <c r="L12" i="24"/>
  <c r="K12" i="24"/>
  <c r="J12" i="24"/>
  <c r="I12" i="24"/>
  <c r="M11" i="24"/>
  <c r="L11" i="24"/>
  <c r="K11" i="24"/>
  <c r="J11" i="24"/>
  <c r="I11" i="24"/>
  <c r="M10" i="24"/>
  <c r="L10" i="24"/>
  <c r="K10" i="24"/>
  <c r="J10" i="24"/>
  <c r="I10" i="24"/>
  <c r="M9" i="24"/>
  <c r="L9" i="24"/>
  <c r="K9" i="24"/>
  <c r="J9" i="24"/>
  <c r="I9" i="24"/>
  <c r="M8" i="24"/>
  <c r="L8" i="24"/>
  <c r="K8" i="24"/>
  <c r="J8" i="24"/>
  <c r="I8" i="24"/>
  <c r="M7" i="24"/>
  <c r="L7" i="24"/>
  <c r="K7" i="24"/>
  <c r="J7" i="24"/>
  <c r="M20" i="18"/>
  <c r="L20" i="18"/>
  <c r="K20" i="18"/>
  <c r="J20" i="18"/>
  <c r="I20" i="18"/>
  <c r="M19" i="18"/>
  <c r="L19" i="18"/>
  <c r="K19" i="18"/>
  <c r="J19" i="18"/>
  <c r="I19" i="18"/>
  <c r="M18" i="18"/>
  <c r="L18" i="18"/>
  <c r="K18" i="18"/>
  <c r="J18" i="18"/>
  <c r="I18" i="18"/>
  <c r="M17" i="18"/>
  <c r="L17" i="18"/>
  <c r="K17" i="18"/>
  <c r="J17" i="18"/>
  <c r="I17" i="18"/>
  <c r="M16" i="18"/>
  <c r="L16" i="18"/>
  <c r="K16" i="18"/>
  <c r="J16" i="18"/>
  <c r="I16" i="18"/>
  <c r="M15" i="18"/>
  <c r="L15" i="18"/>
  <c r="K15" i="18"/>
  <c r="J15" i="18"/>
  <c r="I15" i="18"/>
  <c r="M14" i="18"/>
  <c r="L14" i="18"/>
  <c r="K14" i="18"/>
  <c r="J14" i="18"/>
  <c r="I14" i="18"/>
  <c r="M13" i="18"/>
  <c r="L13" i="18"/>
  <c r="K13" i="18"/>
  <c r="J13" i="18"/>
  <c r="I13" i="18"/>
  <c r="M12" i="18"/>
  <c r="L12" i="18"/>
  <c r="K12" i="18"/>
  <c r="J12" i="18"/>
  <c r="I12" i="18"/>
  <c r="M11" i="18"/>
  <c r="L11" i="18"/>
  <c r="K11" i="18"/>
  <c r="J11" i="18"/>
  <c r="I11" i="18"/>
  <c r="M10" i="18"/>
  <c r="L10" i="18"/>
  <c r="K10" i="18"/>
  <c r="J10" i="18"/>
  <c r="I10" i="18"/>
  <c r="M9" i="18"/>
  <c r="L9" i="18"/>
  <c r="K9" i="18"/>
  <c r="J9" i="18"/>
  <c r="I9" i="18"/>
  <c r="M8" i="18"/>
  <c r="L8" i="18"/>
  <c r="K8" i="18"/>
  <c r="M7" i="18"/>
  <c r="L7" i="18"/>
  <c r="K7" i="18"/>
  <c r="J8" i="18"/>
  <c r="I8" i="18"/>
  <c r="J7" i="18"/>
  <c r="I7" i="18"/>
</calcChain>
</file>

<file path=xl/sharedStrings.xml><?xml version="1.0" encoding="utf-8"?>
<sst xmlns="http://schemas.openxmlformats.org/spreadsheetml/2006/main" count="134" uniqueCount="53">
  <si>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</si>
  <si>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</si>
  <si>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</si>
  <si>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</si>
  <si>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</si>
  <si>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</si>
  <si>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</si>
  <si>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</si>
  <si>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</si>
  <si>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</si>
  <si>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</si>
  <si>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</si>
  <si>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</si>
  <si>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</si>
  <si>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</si>
  <si>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</si>
  <si>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</si>
  <si>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</si>
  <si>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FAI</t>
  </si>
  <si>
    <t>Type</t>
  </si>
  <si>
    <t>Nominal</t>
  </si>
  <si>
    <t>High Limit</t>
  </si>
  <si>
    <t>Low Limit</t>
  </si>
  <si>
    <t>Method</t>
  </si>
  <si>
    <t>Sample 1</t>
  </si>
  <si>
    <t>Sample 2</t>
  </si>
  <si>
    <t>Sample 3</t>
  </si>
  <si>
    <t>Sample 4</t>
  </si>
  <si>
    <t>Sample 5</t>
  </si>
  <si>
    <t>Type Source</t>
  </si>
  <si>
    <t>Length</t>
  </si>
  <si>
    <t>Diameter</t>
  </si>
  <si>
    <t>Radius</t>
  </si>
  <si>
    <t>Thinkness</t>
  </si>
  <si>
    <t>Method Source</t>
  </si>
  <si>
    <t>VMM</t>
  </si>
  <si>
    <t>CMM / ULM</t>
  </si>
  <si>
    <t>+ Tolerance</t>
  </si>
  <si>
    <t>- Tolerance</t>
  </si>
  <si>
    <t>PO #</t>
  </si>
  <si>
    <t>2512 Northland Drive, Mendota Heights, MN 55120</t>
  </si>
  <si>
    <t xml:space="preserve">Part Name </t>
  </si>
  <si>
    <t>Part #</t>
  </si>
  <si>
    <t>Unit</t>
  </si>
  <si>
    <t>Unit Source</t>
  </si>
  <si>
    <t>Inch</t>
  </si>
  <si>
    <t>MM</t>
  </si>
  <si>
    <t>N</t>
  </si>
  <si>
    <t>O</t>
  </si>
  <si>
    <t>P</t>
  </si>
  <si>
    <t xml:space="preserve">  </t>
  </si>
  <si>
    <t>Terra Shim #5</t>
  </si>
  <si>
    <t>Part # 328-0196-000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</si>
</sst>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charset val="134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1937A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>
      <alignment vertical="center"/>
    </xf>
    <xf numFmtId="0" fontId="3" fillId="0" borderId="19" xfId="0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49" fontId="3" fillId="0" borderId="0" xfId="0" applyNumberFormat="1" applyFo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9" fillId="0" borderId="0" xfId="0" applyNumberFormat="1" applyFo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quotePrefix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11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164" fontId="2" fillId="5" borderId="17" xfId="0" applyNumberFormat="1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49" fontId="2" fillId="0" borderId="0" xfId="0" applyNumberFormat="1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right" vertical="center"/>
    </xf>
    <xf numFmtId="49" fontId="5" fillId="0" borderId="0" xfId="0" applyNumberFormat="1" applyFont="1" applyBorder="1">
      <alignment vertical="center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1937A"/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9</xdr:row>
      <xdr:rowOff>9525</xdr:rowOff>
    </xdr:from>
    <xdr:to>
      <xdr:col>15</xdr:col>
      <xdr:colOff>513339</xdr:colOff>
      <xdr:row>20</xdr:row>
      <xdr:rowOff>123825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D1D851B-5244-8690-D539-DDE1AAD7F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362200"/>
          <a:ext cx="8380988" cy="283845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2A419A-8E1B-4879-BF1A-E6405F58F781}"/>
            </a:ext>
          </a:extLst>
        </xdr:cNvPr>
        <xdr:cNvSpPr txBox="1"/>
      </xdr:nvSpPr>
      <xdr:spPr>
        <a:xfrm>
          <a:off x="102012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5B3B50-CD17-4A33-BBBE-67E7CD9A18B3}"/>
            </a:ext>
          </a:extLst>
        </xdr:cNvPr>
        <xdr:cNvSpPr txBox="1"/>
      </xdr:nvSpPr>
      <xdr:spPr>
        <a:xfrm>
          <a:off x="102012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4DBC3C-8E45-4775-A76B-E826B3BD3BC5}"/>
            </a:ext>
          </a:extLst>
        </xdr:cNvPr>
        <xdr:cNvSpPr txBox="1"/>
      </xdr:nvSpPr>
      <xdr:spPr>
        <a:xfrm>
          <a:off x="102012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6660DD-4FFC-4FCF-917C-31BE9256858A}"/>
            </a:ext>
          </a:extLst>
        </xdr:cNvPr>
        <xdr:cNvSpPr txBox="1"/>
      </xdr:nvSpPr>
      <xdr:spPr>
        <a:xfrm>
          <a:off x="102012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F4802C-A359-48A5-A508-662038CB7C88}"/>
            </a:ext>
          </a:extLst>
        </xdr:cNvPr>
        <xdr:cNvSpPr txBox="1"/>
      </xdr:nvSpPr>
      <xdr:spPr>
        <a:xfrm>
          <a:off x="102012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3B8A26-7AB0-4193-B4BA-C2000ED1D235}"/>
            </a:ext>
          </a:extLst>
        </xdr:cNvPr>
        <xdr:cNvSpPr txBox="1"/>
      </xdr:nvSpPr>
      <xdr:spPr>
        <a:xfrm>
          <a:off x="2449931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D164BF-B338-47C1-95CD-BEA67DE59140}"/>
            </a:ext>
          </a:extLst>
        </xdr:cNvPr>
        <xdr:cNvSpPr txBox="1"/>
      </xdr:nvSpPr>
      <xdr:spPr>
        <a:xfrm>
          <a:off x="875131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20500D-B381-47A9-BA5C-6A6188F7DE58}"/>
            </a:ext>
          </a:extLst>
        </xdr:cNvPr>
        <xdr:cNvSpPr txBox="1"/>
      </xdr:nvSpPr>
      <xdr:spPr>
        <a:xfrm>
          <a:off x="923557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7CC6B9-F2A2-4AC9-826B-76ECD778F0F8}"/>
            </a:ext>
          </a:extLst>
        </xdr:cNvPr>
        <xdr:cNvSpPr txBox="1"/>
      </xdr:nvSpPr>
      <xdr:spPr>
        <a:xfrm>
          <a:off x="4295107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FEBEF7-406E-48B1-8FAD-63B3E49FDB56}"/>
            </a:ext>
          </a:extLst>
        </xdr:cNvPr>
        <xdr:cNvSpPr txBox="1"/>
      </xdr:nvSpPr>
      <xdr:spPr>
        <a:xfrm>
          <a:off x="4857082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B8BA38-5D8A-4987-A091-EFEF571C10B7}"/>
            </a:ext>
          </a:extLst>
        </xdr:cNvPr>
        <xdr:cNvSpPr txBox="1"/>
      </xdr:nvSpPr>
      <xdr:spPr>
        <a:xfrm>
          <a:off x="4638675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38100</xdr:colOff>
      <xdr:row>11</xdr:row>
      <xdr:rowOff>47625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9B903E-44FF-45B7-817A-44CC6EF10D5E}"/>
            </a:ext>
          </a:extLst>
        </xdr:cNvPr>
        <xdr:cNvSpPr txBox="1"/>
      </xdr:nvSpPr>
      <xdr:spPr>
        <a:xfrm>
          <a:off x="962025" y="28956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323850</xdr:colOff>
      <xdr:row>10</xdr:row>
      <xdr:rowOff>66675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9F24A2-22EE-4AC0-8E08-B88C734ED7D1}"/>
            </a:ext>
          </a:extLst>
        </xdr:cNvPr>
        <xdr:cNvSpPr txBox="1"/>
      </xdr:nvSpPr>
      <xdr:spPr>
        <a:xfrm>
          <a:off x="2409825" y="266700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4</xdr:col>
      <xdr:colOff>561975</xdr:colOff>
      <xdr:row>12</xdr:row>
      <xdr:rowOff>161925</xdr:rowOff>
    </xdr:from>
    <xdr:ext cx="279692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AF9145-F0BE-4143-96AF-44752427F767}"/>
            </a:ext>
          </a:extLst>
        </xdr:cNvPr>
        <xdr:cNvSpPr txBox="1"/>
      </xdr:nvSpPr>
      <xdr:spPr>
        <a:xfrm>
          <a:off x="2647950" y="32575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12</xdr:col>
      <xdr:colOff>228600</xdr:colOff>
      <xdr:row>11</xdr:row>
      <xdr:rowOff>114300</xdr:rowOff>
    </xdr:from>
    <xdr:ext cx="297838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B9A344-E438-4E02-99E2-51858CAAD290}"/>
            </a:ext>
          </a:extLst>
        </xdr:cNvPr>
        <xdr:cNvSpPr txBox="1"/>
      </xdr:nvSpPr>
      <xdr:spPr>
        <a:xfrm>
          <a:off x="6962775" y="296227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twoCellAnchor editAs="oneCell">
    <xdr:from>
      <xdr:col>12</xdr:col>
      <xdr:colOff>371475</xdr:colOff>
      <xdr:row>20</xdr:row>
      <xdr:rowOff>95250</xdr:rowOff>
    </xdr:from>
    <xdr:to>
      <xdr:col>15</xdr:col>
      <xdr:colOff>514350</xdr:colOff>
      <xdr:row>24</xdr:row>
      <xdr:rowOff>125935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85C567D-2BFF-7ED3-B5DC-F32A82AB1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650" y="5172075"/>
          <a:ext cx="1885950" cy="9260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11</xdr:col>
      <xdr:colOff>200025</xdr:colOff>
      <xdr:row>9</xdr:row>
      <xdr:rowOff>152400</xdr:rowOff>
    </xdr:from>
    <xdr:ext cx="272254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1A12749-BFE0-4F56-81AA-6302FAAE97A4}"/>
            </a:ext>
          </a:extLst>
        </xdr:cNvPr>
        <xdr:cNvSpPr txBox="1"/>
      </xdr:nvSpPr>
      <xdr:spPr>
        <a:xfrm>
          <a:off x="6353175" y="250507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9</xdr:col>
      <xdr:colOff>514350</xdr:colOff>
      <xdr:row>9</xdr:row>
      <xdr:rowOff>114300</xdr:rowOff>
    </xdr:from>
    <xdr:ext cx="267061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E5A04D7-3B80-4881-8C5A-BFA2D087B41D}"/>
            </a:ext>
          </a:extLst>
        </xdr:cNvPr>
        <xdr:cNvSpPr txBox="1"/>
      </xdr:nvSpPr>
      <xdr:spPr>
        <a:xfrm>
          <a:off x="5505450" y="2466975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9</xdr:col>
      <xdr:colOff>133350</xdr:colOff>
      <xdr:row>9</xdr:row>
      <xdr:rowOff>95250</xdr:rowOff>
    </xdr:from>
    <xdr:ext cx="299056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DA46F24-784A-410E-B01E-96F165DC11E1}"/>
            </a:ext>
          </a:extLst>
        </xdr:cNvPr>
        <xdr:cNvSpPr txBox="1"/>
      </xdr:nvSpPr>
      <xdr:spPr>
        <a:xfrm>
          <a:off x="5124450" y="2447925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8</xdr:col>
      <xdr:colOff>342900</xdr:colOff>
      <xdr:row>9</xdr:row>
      <xdr:rowOff>133350</xdr:rowOff>
    </xdr:from>
    <xdr:ext cx="297902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CAEA2BE-281B-4510-8F61-93E13E498550}"/>
            </a:ext>
          </a:extLst>
        </xdr:cNvPr>
        <xdr:cNvSpPr txBox="1"/>
      </xdr:nvSpPr>
      <xdr:spPr>
        <a:xfrm>
          <a:off x="4752975" y="248602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7</xdr:col>
      <xdr:colOff>428625</xdr:colOff>
      <xdr:row>9</xdr:row>
      <xdr:rowOff>133350</xdr:rowOff>
    </xdr:from>
    <xdr:ext cx="232500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C60B3CE-4578-4E60-9BCF-32E1EE249239}"/>
            </a:ext>
          </a:extLst>
        </xdr:cNvPr>
        <xdr:cNvSpPr txBox="1"/>
      </xdr:nvSpPr>
      <xdr:spPr>
        <a:xfrm>
          <a:off x="4257675" y="2486025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6</xdr:col>
      <xdr:colOff>400050</xdr:colOff>
      <xdr:row>9</xdr:row>
      <xdr:rowOff>142875</xdr:rowOff>
    </xdr:from>
    <xdr:ext cx="244106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E11BAC1-DEF8-48A1-8DB7-72D13B105702}"/>
            </a:ext>
          </a:extLst>
        </xdr:cNvPr>
        <xdr:cNvSpPr txBox="1"/>
      </xdr:nvSpPr>
      <xdr:spPr>
        <a:xfrm>
          <a:off x="3648075" y="2495550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10</xdr:col>
      <xdr:colOff>276225</xdr:colOff>
      <xdr:row>17</xdr:row>
      <xdr:rowOff>161925</xdr:rowOff>
    </xdr:from>
    <xdr:ext cx="28283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E557B67-4A1E-4F3D-82C7-BECBFC42730C}"/>
            </a:ext>
          </a:extLst>
        </xdr:cNvPr>
        <xdr:cNvSpPr txBox="1"/>
      </xdr:nvSpPr>
      <xdr:spPr>
        <a:xfrm>
          <a:off x="5848350" y="4495800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6</xdr:col>
      <xdr:colOff>142875</xdr:colOff>
      <xdr:row>15</xdr:row>
      <xdr:rowOff>95250</xdr:rowOff>
    </xdr:from>
    <xdr:ext cx="260584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9C34FBA-0337-4221-BA0D-A4E0D6DF5767}"/>
            </a:ext>
          </a:extLst>
        </xdr:cNvPr>
        <xdr:cNvSpPr txBox="1"/>
      </xdr:nvSpPr>
      <xdr:spPr>
        <a:xfrm>
          <a:off x="3390900" y="3933825"/>
          <a:ext cx="2605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6</xdr:col>
      <xdr:colOff>200025</xdr:colOff>
      <xdr:row>17</xdr:row>
      <xdr:rowOff>200025</xdr:rowOff>
    </xdr:from>
    <xdr:ext cx="341568" cy="31149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C4CCA55-B7A3-4333-BEF2-CD5B5FB8569D}"/>
            </a:ext>
          </a:extLst>
        </xdr:cNvPr>
        <xdr:cNvSpPr txBox="1"/>
      </xdr:nvSpPr>
      <xdr:spPr>
        <a:xfrm>
          <a:off x="3448050" y="4533900"/>
          <a:ext cx="34156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23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39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897D2-7FAB-4981-9C2C-28663F382B64}"/>
            </a:ext>
          </a:extLst>
        </xdr:cNvPr>
        <xdr:cNvSpPr txBox="1"/>
      </xdr:nvSpPr>
      <xdr:spPr>
        <a:xfrm>
          <a:off x="8629650" y="94304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FB1775-C7D2-403F-AFDE-9DEE2128CF16}"/>
            </a:ext>
          </a:extLst>
        </xdr:cNvPr>
        <xdr:cNvSpPr txBox="1"/>
      </xdr:nvSpPr>
      <xdr:spPr>
        <a:xfrm>
          <a:off x="8629650" y="84010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49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E00625-5AA1-4DC6-8D00-785113D51288}"/>
            </a:ext>
          </a:extLst>
        </xdr:cNvPr>
        <xdr:cNvSpPr txBox="1"/>
      </xdr:nvSpPr>
      <xdr:spPr>
        <a:xfrm>
          <a:off x="8629650" y="1101293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FF69007-6D75-4EEE-AEBA-9E16311DD191}"/>
            </a:ext>
          </a:extLst>
        </xdr:cNvPr>
        <xdr:cNvSpPr txBox="1"/>
      </xdr:nvSpPr>
      <xdr:spPr>
        <a:xfrm>
          <a:off x="8629650" y="83907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30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0016BB-B4A9-4EAE-AE16-24DC37D095F4}"/>
            </a:ext>
          </a:extLst>
        </xdr:cNvPr>
        <xdr:cNvSpPr txBox="1"/>
      </xdr:nvSpPr>
      <xdr:spPr>
        <a:xfrm>
          <a:off x="8629650" y="80795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77416F-866F-4B71-9489-F66E03B8A6EE}"/>
            </a:ext>
          </a:extLst>
        </xdr:cNvPr>
        <xdr:cNvSpPr txBox="1"/>
      </xdr:nvSpPr>
      <xdr:spPr>
        <a:xfrm>
          <a:off x="1802231" y="375886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3FD88-D247-4917-9653-BD75E6742088}"/>
            </a:ext>
          </a:extLst>
        </xdr:cNvPr>
        <xdr:cNvSpPr txBox="1"/>
      </xdr:nvSpPr>
      <xdr:spPr>
        <a:xfrm>
          <a:off x="275056" y="565049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66B1DF-FC3C-40D8-BF2E-0304D7060612}"/>
            </a:ext>
          </a:extLst>
        </xdr:cNvPr>
        <xdr:cNvSpPr txBox="1"/>
      </xdr:nvSpPr>
      <xdr:spPr>
        <a:xfrm>
          <a:off x="8629650" y="562025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20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6C146B-50F6-4C2B-9AFF-F8A24D14867C}"/>
            </a:ext>
          </a:extLst>
        </xdr:cNvPr>
        <xdr:cNvSpPr txBox="1"/>
      </xdr:nvSpPr>
      <xdr:spPr>
        <a:xfrm>
          <a:off x="4056982" y="61436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ED48B3-12C6-4E97-AA99-88EF53728923}"/>
            </a:ext>
          </a:extLst>
        </xdr:cNvPr>
        <xdr:cNvSpPr txBox="1"/>
      </xdr:nvSpPr>
      <xdr:spPr>
        <a:xfrm>
          <a:off x="4666582" y="56673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21</xdr:row>
      <xdr:rowOff>171450</xdr:rowOff>
    </xdr:from>
    <xdr:ext cx="18473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1117841-471F-4C92-A89D-D301F551FE80}"/>
            </a:ext>
          </a:extLst>
        </xdr:cNvPr>
        <xdr:cNvSpPr txBox="1"/>
      </xdr:nvSpPr>
      <xdr:spPr>
        <a:xfrm>
          <a:off x="4400550" y="65627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311-3373-4FC8-A169-706E5AD80554}">
  <dimension ref="B1:AA36"/>
  <sheetViews>
    <sheetView tabSelected="1" zoomScaleNormal="100" workbookViewId="0">
      <selection activeCell="U6" sqref="U6"/>
    </sheetView>
  </sheetViews>
  <sheetFormatPr defaultColWidth="9" defaultRowHeight="12"/>
  <cols>
    <col min="1" max="1" width="9" style="1"/>
    <col min="2" max="2" width="4.85546875" style="1" customWidth="1"/>
    <col min="3" max="4" width="8.7109375" style="10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82" t="s">
        <v>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1"/>
    </row>
    <row r="2" spans="2:27" ht="26.45" customHeight="1" thickBot="1">
      <c r="B2" s="70" t="s">
        <v>3</v>
      </c>
      <c r="C2" s="71"/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  <c r="P2" s="73" t="s">
        <v>52</v>
      </c>
      <c r="Q2" s="86"/>
    </row>
    <row r="3" spans="2:27" ht="24.95" customHeight="1" thickTop="1">
      <c r="B3" s="74" t="s">
        <v>7</v>
      </c>
      <c r="C3" s="75" t="s">
        <v>0</v>
      </c>
      <c r="D3" s="75" t="s">
        <v>1</v>
      </c>
      <c r="E3" s="76" t="s">
        <v>6</v>
      </c>
      <c r="F3" s="77" t="s">
        <v>8</v>
      </c>
      <c r="G3" s="77" t="s">
        <v>9</v>
      </c>
      <c r="H3" s="77" t="s">
        <v>10</v>
      </c>
      <c r="I3" s="77" t="s">
        <v>11</v>
      </c>
      <c r="J3" s="77" t="s">
        <v>12</v>
      </c>
      <c r="K3" s="77" t="s">
        <v>13</v>
      </c>
      <c r="L3" s="77" t="s">
        <v>14</v>
      </c>
      <c r="M3" s="77" t="s">
        <v>15</v>
      </c>
      <c r="N3" s="76" t="s">
        <v>16</v>
      </c>
      <c r="O3" s="77" t="s">
        <v>17</v>
      </c>
      <c r="P3" s="78" t="s">
        <v>47</v>
      </c>
      <c r="Q3" s="87"/>
      <c r="R3" s="88"/>
      <c r="T3" s="89"/>
    </row>
    <row r="4" spans="2:27" ht="20.100000000000001" customHeight="1">
      <c r="B4" s="79">
        <v>1</v>
      </c>
      <c r="C4" s="30">
        <v>3.9E-2</v>
      </c>
      <c r="D4" s="30">
        <v>7.6999999999999999E-2</v>
      </c>
      <c r="E4" s="30">
        <v>5.8999999999999997E-2</v>
      </c>
      <c r="F4" s="30">
        <v>9.7000000000000003E-2</v>
      </c>
      <c r="G4" s="30">
        <v>2.1999999999999999E-2</v>
      </c>
      <c r="H4" s="30">
        <v>3.6999999999999998E-2</v>
      </c>
      <c r="I4" s="30">
        <v>6.9000000000000006E-2</v>
      </c>
      <c r="J4" s="30">
        <v>0.10199999999999999</v>
      </c>
      <c r="K4" s="30">
        <v>0.123</v>
      </c>
      <c r="L4" s="30">
        <v>0.17299999999999999</v>
      </c>
      <c r="M4" s="30">
        <v>1.4999999999999999E-2</v>
      </c>
      <c r="N4" s="30">
        <v>2.1999999999999999E-2</v>
      </c>
      <c r="O4" s="30"/>
      <c r="P4" s="94"/>
      <c r="Q4" s="79"/>
      <c r="R4" s="90"/>
    </row>
    <row r="5" spans="2:27" ht="20.100000000000001" customHeight="1">
      <c r="B5" s="79">
        <v>2</v>
      </c>
      <c r="C5" s="31">
        <v>3.7999999999999999E-2</v>
      </c>
      <c r="D5" s="31">
        <v>7.8E-2</v>
      </c>
      <c r="E5" s="31">
        <v>5.8999999999999997E-2</v>
      </c>
      <c r="F5" s="31">
        <v>9.7000000000000003E-2</v>
      </c>
      <c r="G5" s="31">
        <v>2.1999999999999999E-2</v>
      </c>
      <c r="H5" s="31">
        <v>3.7999999999999999E-2</v>
      </c>
      <c r="I5" s="31">
        <v>7.0000000000000007E-2</v>
      </c>
      <c r="J5" s="31">
        <v>0.10100000000000001</v>
      </c>
      <c r="K5" s="31">
        <v>0.122</v>
      </c>
      <c r="L5" s="31">
        <v>0.17199999999999999</v>
      </c>
      <c r="M5" s="31">
        <v>1.6E-2</v>
      </c>
      <c r="N5" s="31">
        <v>2.1000000000000001E-2</v>
      </c>
      <c r="O5" s="31"/>
      <c r="P5" s="95"/>
      <c r="Q5" s="91"/>
      <c r="R5" s="92"/>
    </row>
    <row r="6" spans="2:27" ht="20.100000000000001" customHeight="1">
      <c r="B6" s="79">
        <v>3</v>
      </c>
      <c r="C6" s="30">
        <v>3.7999999999999999E-2</v>
      </c>
      <c r="D6" s="30">
        <v>7.6999999999999999E-2</v>
      </c>
      <c r="E6" s="30">
        <v>5.8999999999999997E-2</v>
      </c>
      <c r="F6" s="30">
        <v>9.7000000000000003E-2</v>
      </c>
      <c r="G6" s="30">
        <v>2.1000000000000001E-2</v>
      </c>
      <c r="H6" s="30">
        <v>3.7999999999999999E-2</v>
      </c>
      <c r="I6" s="30">
        <v>7.0000000000000007E-2</v>
      </c>
      <c r="J6" s="30">
        <v>0.10100000000000001</v>
      </c>
      <c r="K6" s="30">
        <v>0.122</v>
      </c>
      <c r="L6" s="30">
        <v>0.17199999999999999</v>
      </c>
      <c r="M6" s="30">
        <v>1.4999999999999999E-2</v>
      </c>
      <c r="N6" s="30">
        <v>2.1000000000000001E-2</v>
      </c>
      <c r="O6" s="30"/>
      <c r="P6" s="94"/>
      <c r="Q6" s="91"/>
      <c r="R6" s="92"/>
    </row>
    <row r="7" spans="2:27" ht="20.100000000000001" customHeight="1">
      <c r="B7" s="79">
        <v>4</v>
      </c>
      <c r="C7" s="31">
        <v>3.7999999999999999E-2</v>
      </c>
      <c r="D7" s="31">
        <v>7.6999999999999999E-2</v>
      </c>
      <c r="E7" s="31">
        <v>5.8999999999999997E-2</v>
      </c>
      <c r="F7" s="31">
        <v>9.7000000000000003E-2</v>
      </c>
      <c r="G7" s="31">
        <v>2.1999999999999999E-2</v>
      </c>
      <c r="H7" s="31">
        <v>3.7999999999999999E-2</v>
      </c>
      <c r="I7" s="31">
        <v>7.0000000000000007E-2</v>
      </c>
      <c r="J7" s="31">
        <v>0.10100000000000001</v>
      </c>
      <c r="K7" s="31">
        <v>0.122</v>
      </c>
      <c r="L7" s="31">
        <v>0.17100000000000001</v>
      </c>
      <c r="M7" s="31">
        <v>1.4999999999999999E-2</v>
      </c>
      <c r="N7" s="31">
        <v>2.1000000000000001E-2</v>
      </c>
      <c r="O7" s="31"/>
      <c r="P7" s="95"/>
      <c r="Q7" s="91"/>
      <c r="R7" s="92"/>
    </row>
    <row r="8" spans="2:27" ht="20.100000000000001" customHeight="1" thickBot="1">
      <c r="B8" s="80">
        <v>5</v>
      </c>
      <c r="C8" s="84">
        <v>3.7999999999999999E-2</v>
      </c>
      <c r="D8" s="85">
        <v>7.8E-2</v>
      </c>
      <c r="E8" s="85">
        <v>5.8999999999999997E-2</v>
      </c>
      <c r="F8" s="85">
        <v>9.7000000000000003E-2</v>
      </c>
      <c r="G8" s="85">
        <v>2.1999999999999999E-2</v>
      </c>
      <c r="H8" s="85">
        <v>3.7999999999999999E-2</v>
      </c>
      <c r="I8" s="85">
        <v>6.9000000000000006E-2</v>
      </c>
      <c r="J8" s="85">
        <v>0.10100000000000001</v>
      </c>
      <c r="K8" s="85">
        <v>0.123</v>
      </c>
      <c r="L8" s="85">
        <v>0.17299999999999999</v>
      </c>
      <c r="M8" s="85">
        <v>1.4999999999999999E-2</v>
      </c>
      <c r="N8" s="85">
        <v>2.1999999999999999E-2</v>
      </c>
      <c r="O8" s="85"/>
      <c r="P8" s="96"/>
      <c r="Q8" s="80"/>
      <c r="R8" s="93"/>
    </row>
    <row r="9" spans="2:27" ht="6.75" customHeight="1" thickTop="1"/>
    <row r="10" spans="2:27" ht="20.100000000000001" customHeight="1">
      <c r="B10" s="97"/>
      <c r="C10" s="98"/>
      <c r="D10" s="98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"/>
    </row>
    <row r="11" spans="2:27" ht="20.100000000000001" customHeight="1">
      <c r="B11" s="97"/>
      <c r="C11" s="98"/>
      <c r="D11" s="98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"/>
      <c r="T11" s="1" t="s">
        <v>5</v>
      </c>
    </row>
    <row r="12" spans="2:27" ht="20.100000000000001" customHeight="1">
      <c r="B12" s="97"/>
      <c r="C12" s="98"/>
      <c r="D12" s="98"/>
      <c r="E12" s="97"/>
      <c r="F12" s="97"/>
      <c r="G12" s="97"/>
      <c r="H12" s="97"/>
      <c r="I12" s="97"/>
      <c r="J12" s="97"/>
      <c r="K12" s="97"/>
      <c r="L12" s="97"/>
      <c r="M12" s="99"/>
      <c r="N12" s="97"/>
      <c r="O12" s="97"/>
      <c r="P12" s="97"/>
      <c r="Q12" s="9"/>
    </row>
    <row r="13" spans="2:27" ht="20.100000000000001" customHeight="1">
      <c r="B13" s="97"/>
      <c r="C13" s="98"/>
      <c r="D13" s="98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"/>
    </row>
    <row r="14" spans="2:27" ht="20.100000000000001" customHeight="1">
      <c r="B14" s="97"/>
      <c r="C14" s="98"/>
      <c r="D14" s="98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"/>
    </row>
    <row r="15" spans="2:27" ht="20.100000000000001" customHeight="1">
      <c r="B15" s="97"/>
      <c r="C15" s="98"/>
      <c r="D15" s="98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"/>
    </row>
    <row r="16" spans="2:27" ht="20.100000000000001" customHeight="1">
      <c r="B16" s="97"/>
      <c r="C16" s="98"/>
      <c r="D16" s="98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"/>
      <c r="AA16" s="1" t="s">
        <v>50</v>
      </c>
    </row>
    <row r="17" spans="2:23" ht="20.100000000000001" customHeight="1">
      <c r="B17" s="97"/>
      <c r="C17" s="98"/>
      <c r="D17" s="98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"/>
    </row>
    <row r="18" spans="2:23" ht="20.100000000000001" customHeight="1">
      <c r="B18" s="97"/>
      <c r="C18" s="98"/>
      <c r="D18" s="98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"/>
      <c r="W18" s="1" t="s">
        <v>4</v>
      </c>
    </row>
    <row r="19" spans="2:23" ht="20.100000000000001" customHeight="1">
      <c r="B19" s="97"/>
      <c r="C19" s="98"/>
      <c r="D19" s="98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"/>
    </row>
    <row r="20" spans="2:23" ht="20.100000000000001" customHeight="1">
      <c r="B20" s="97"/>
      <c r="C20" s="98"/>
      <c r="D20" s="98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"/>
    </row>
    <row r="21" spans="2:23" ht="20.100000000000001" customHeight="1">
      <c r="B21" s="97"/>
      <c r="C21" s="98"/>
      <c r="D21" s="98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"/>
    </row>
    <row r="22" spans="2:23" ht="20.100000000000001" customHeight="1">
      <c r="B22" s="100"/>
      <c r="C22" s="101"/>
      <c r="D22" s="9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"/>
    </row>
    <row r="23" spans="2:23" ht="20.100000000000001" customHeight="1">
      <c r="B23" s="97"/>
      <c r="C23" s="98"/>
      <c r="D23" s="98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"/>
    </row>
    <row r="24" spans="2:23">
      <c r="B24" s="97"/>
      <c r="C24" s="98"/>
      <c r="D24" s="98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"/>
    </row>
    <row r="25" spans="2:23">
      <c r="B25" s="97"/>
      <c r="C25" s="98"/>
      <c r="D25" s="9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"/>
    </row>
    <row r="26" spans="2:23">
      <c r="B26" s="97"/>
      <c r="C26" s="98"/>
      <c r="D26" s="98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"/>
    </row>
    <row r="27" spans="2:23">
      <c r="B27" s="9"/>
      <c r="C27" s="8"/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23">
      <c r="B28" s="9"/>
      <c r="C28" s="8"/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2:23">
      <c r="B29" s="9"/>
      <c r="C29" s="8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2:23">
      <c r="B30" s="9"/>
      <c r="C30" s="8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2:23">
      <c r="B31" s="9"/>
      <c r="C31" s="8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23">
      <c r="B32" s="9"/>
      <c r="C32" s="8"/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>
      <c r="B33" s="9"/>
      <c r="C33" s="8"/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>
      <c r="B34" s="9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>
      <c r="B35" s="9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>
      <c r="B36" s="9"/>
      <c r="C36" s="8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</sheetData>
  <mergeCells count="1">
    <mergeCell ref="B1:P1"/>
  </mergeCells>
  <phoneticPr fontId="7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AA39"/>
  <sheetViews>
    <sheetView zoomScaleNormal="100" workbookViewId="0">
      <selection activeCell="E23" sqref="E23"/>
    </sheetView>
  </sheetViews>
  <sheetFormatPr defaultColWidth="9" defaultRowHeight="12"/>
  <cols>
    <col min="1" max="1" width="4.85546875" style="1" customWidth="1"/>
    <col min="2" max="2" width="11.7109375" style="10" customWidth="1"/>
    <col min="3" max="3" width="9.7109375" style="10" customWidth="1"/>
    <col min="4" max="5" width="11.7109375" style="1" customWidth="1"/>
    <col min="6" max="7" width="9.7109375" style="1" customWidth="1"/>
    <col min="8" max="8" width="11.7109375" style="1" customWidth="1"/>
    <col min="9" max="13" width="9.7109375" style="1" customWidth="1"/>
    <col min="14" max="16384" width="9" style="1"/>
  </cols>
  <sheetData>
    <row r="1" spans="1:27" ht="42" customHeight="1">
      <c r="A1" s="83" t="s">
        <v>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6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3"/>
    </row>
    <row r="2" spans="1:27" ht="26.45" customHeight="1">
      <c r="A2" s="20" t="s">
        <v>3</v>
      </c>
      <c r="B2" s="2"/>
      <c r="C2" s="2"/>
      <c r="D2" s="3"/>
      <c r="E2" s="3"/>
      <c r="F2" s="3"/>
      <c r="G2" s="3"/>
      <c r="H2" s="3"/>
      <c r="I2" s="16" t="s">
        <v>43</v>
      </c>
      <c r="J2" s="15"/>
      <c r="K2" s="13" t="s">
        <v>41</v>
      </c>
      <c r="L2" s="16"/>
      <c r="M2" s="17"/>
      <c r="N2" s="34"/>
      <c r="AA2" s="35"/>
    </row>
    <row r="3" spans="1:27" ht="26.45" customHeight="1">
      <c r="A3" s="19" t="s">
        <v>40</v>
      </c>
      <c r="B3" s="2"/>
      <c r="C3" s="2"/>
      <c r="D3" s="3"/>
      <c r="E3" s="3"/>
      <c r="F3" s="3"/>
      <c r="G3" s="3"/>
      <c r="H3" s="3"/>
      <c r="I3" s="3"/>
      <c r="J3" s="3"/>
      <c r="K3" s="14" t="s">
        <v>42</v>
      </c>
      <c r="L3" s="16"/>
      <c r="M3" s="18"/>
      <c r="N3" s="34"/>
      <c r="AA3" s="35"/>
    </row>
    <row r="4" spans="1:27" ht="26.45" customHeight="1">
      <c r="B4" s="3"/>
      <c r="C4" s="21"/>
      <c r="D4" s="21"/>
      <c r="E4" s="3"/>
      <c r="F4" s="3"/>
      <c r="G4" s="3"/>
      <c r="H4" s="3"/>
      <c r="I4" s="3"/>
      <c r="J4" s="3"/>
      <c r="K4" s="15" t="s">
        <v>39</v>
      </c>
      <c r="L4" s="16"/>
      <c r="M4" s="18"/>
      <c r="N4" s="34"/>
      <c r="AA4" s="35"/>
    </row>
    <row r="5" spans="1:27" ht="26.45" customHeight="1">
      <c r="A5" s="4"/>
      <c r="B5" s="2"/>
      <c r="C5" s="2"/>
      <c r="D5" s="3"/>
      <c r="E5" s="3"/>
      <c r="F5" s="3"/>
      <c r="G5" s="3"/>
      <c r="H5" s="3"/>
      <c r="I5" s="3"/>
      <c r="J5" s="3"/>
      <c r="K5" s="3"/>
      <c r="N5" s="34"/>
      <c r="AA5" s="35"/>
    </row>
    <row r="6" spans="1:27" ht="24.95" customHeight="1">
      <c r="A6" s="22" t="s">
        <v>18</v>
      </c>
      <c r="B6" s="23" t="s">
        <v>19</v>
      </c>
      <c r="C6" s="23" t="s">
        <v>20</v>
      </c>
      <c r="D6" s="24" t="s">
        <v>37</v>
      </c>
      <c r="E6" s="24" t="s">
        <v>38</v>
      </c>
      <c r="F6" s="25" t="s">
        <v>21</v>
      </c>
      <c r="G6" s="25" t="s">
        <v>22</v>
      </c>
      <c r="H6" s="25" t="s">
        <v>23</v>
      </c>
      <c r="I6" s="25" t="s">
        <v>24</v>
      </c>
      <c r="J6" s="25" t="s">
        <v>25</v>
      </c>
      <c r="K6" s="25" t="s">
        <v>26</v>
      </c>
      <c r="L6" s="25" t="s">
        <v>27</v>
      </c>
      <c r="M6" s="22" t="s">
        <v>28</v>
      </c>
      <c r="N6" s="36"/>
      <c r="AA6" s="35"/>
    </row>
    <row r="7" spans="1:27" ht="20.100000000000001" customHeight="1">
      <c r="A7" s="26" t="s">
        <v>0</v>
      </c>
      <c r="B7" s="5"/>
      <c r="C7" s="30"/>
      <c r="D7" s="29"/>
      <c r="E7" s="27"/>
      <c r="F7" s="27">
        <v>0.14000000000000001</v>
      </c>
      <c r="G7" s="27">
        <v>0.12</v>
      </c>
      <c r="H7" s="7"/>
      <c r="I7" s="27">
        <f>Measurement!C4</f>
        <v>3.9E-2</v>
      </c>
      <c r="J7" s="27">
        <f>Measurement!C5</f>
        <v>3.7999999999999999E-2</v>
      </c>
      <c r="K7" s="27">
        <f>Measurement!C6</f>
        <v>3.7999999999999999E-2</v>
      </c>
      <c r="L7" s="27">
        <f>Measurement!C7</f>
        <v>3.7999999999999999E-2</v>
      </c>
      <c r="M7" s="28">
        <f>Measurement!C8</f>
        <v>3.7999999999999999E-2</v>
      </c>
      <c r="N7" s="34"/>
      <c r="AA7" s="35"/>
    </row>
    <row r="8" spans="1:27" ht="20.100000000000001" customHeight="1">
      <c r="A8" s="26" t="s">
        <v>1</v>
      </c>
      <c r="B8" s="5"/>
      <c r="C8" s="31"/>
      <c r="D8" s="29"/>
      <c r="E8" s="29"/>
      <c r="F8" s="27"/>
      <c r="G8" s="27"/>
      <c r="H8" s="7"/>
      <c r="I8" s="27">
        <f>Measurement!D4</f>
        <v>7.6999999999999999E-2</v>
      </c>
      <c r="J8" s="27">
        <f>Measurement!D5</f>
        <v>7.8E-2</v>
      </c>
      <c r="K8" s="27">
        <f>Measurement!D6</f>
        <v>7.6999999999999999E-2</v>
      </c>
      <c r="L8" s="27">
        <f>Measurement!D7</f>
        <v>7.6999999999999999E-2</v>
      </c>
      <c r="M8" s="28">
        <f>Measurement!D8</f>
        <v>7.8E-2</v>
      </c>
      <c r="N8" s="34"/>
      <c r="AA8" s="35"/>
    </row>
    <row r="9" spans="1:27" ht="20.100000000000001" customHeight="1">
      <c r="A9" s="26" t="s">
        <v>6</v>
      </c>
      <c r="B9" s="5"/>
      <c r="C9" s="31"/>
      <c r="D9" s="29"/>
      <c r="E9" s="29"/>
      <c r="F9" s="27"/>
      <c r="G9" s="27"/>
      <c r="H9" s="7"/>
      <c r="I9" s="27">
        <f>Measurement!E4</f>
        <v>5.8999999999999997E-2</v>
      </c>
      <c r="J9" s="27">
        <f>Measurement!E5</f>
        <v>5.8999999999999997E-2</v>
      </c>
      <c r="K9" s="27">
        <f>Measurement!E6</f>
        <v>5.8999999999999997E-2</v>
      </c>
      <c r="L9" s="27">
        <f>Measurement!E7</f>
        <v>5.8999999999999997E-2</v>
      </c>
      <c r="M9" s="28">
        <f>Measurement!E8</f>
        <v>5.8999999999999997E-2</v>
      </c>
      <c r="N9" s="34"/>
      <c r="AA9" s="35"/>
    </row>
    <row r="10" spans="1:27" ht="20.100000000000001" customHeight="1">
      <c r="A10" s="26" t="s">
        <v>8</v>
      </c>
      <c r="B10" s="5"/>
      <c r="C10" s="31"/>
      <c r="D10" s="29"/>
      <c r="E10" s="29"/>
      <c r="F10" s="27"/>
      <c r="G10" s="27"/>
      <c r="H10" s="7"/>
      <c r="I10" s="27">
        <f>Measurement!F4</f>
        <v>9.7000000000000003E-2</v>
      </c>
      <c r="J10" s="27">
        <f>Measurement!F5</f>
        <v>9.7000000000000003E-2</v>
      </c>
      <c r="K10" s="27">
        <f>Measurement!F6</f>
        <v>9.7000000000000003E-2</v>
      </c>
      <c r="L10" s="27">
        <f>Measurement!F7</f>
        <v>9.7000000000000003E-2</v>
      </c>
      <c r="M10" s="28">
        <f>Measurement!F8</f>
        <v>9.7000000000000003E-2</v>
      </c>
      <c r="N10" s="34"/>
      <c r="AA10" s="35"/>
    </row>
    <row r="11" spans="1:27" ht="20.100000000000001" customHeight="1">
      <c r="A11" s="26" t="s">
        <v>9</v>
      </c>
      <c r="B11" s="5"/>
      <c r="C11" s="28"/>
      <c r="D11" s="28"/>
      <c r="E11" s="28"/>
      <c r="F11" s="27"/>
      <c r="G11" s="27"/>
      <c r="H11" s="7"/>
      <c r="I11" s="27">
        <f>Measurement!G4</f>
        <v>2.1999999999999999E-2</v>
      </c>
      <c r="J11" s="27">
        <f>Measurement!G5</f>
        <v>2.1999999999999999E-2</v>
      </c>
      <c r="K11" s="27">
        <f>Measurement!G6</f>
        <v>2.1000000000000001E-2</v>
      </c>
      <c r="L11" s="27">
        <f>Measurement!G7</f>
        <v>2.1999999999999999E-2</v>
      </c>
      <c r="M11" s="28">
        <f>Measurement!G8</f>
        <v>2.1999999999999999E-2</v>
      </c>
      <c r="N11" s="34"/>
      <c r="AA11" s="35"/>
    </row>
    <row r="12" spans="1:27" ht="20.100000000000001" customHeight="1">
      <c r="A12" s="26" t="s">
        <v>10</v>
      </c>
      <c r="B12" s="5"/>
      <c r="C12" s="30"/>
      <c r="D12" s="29"/>
      <c r="E12" s="27"/>
      <c r="F12" s="27"/>
      <c r="G12" s="27"/>
      <c r="H12" s="7"/>
      <c r="I12" s="27">
        <f>Measurement!H4</f>
        <v>3.6999999999999998E-2</v>
      </c>
      <c r="J12" s="27">
        <f>Measurement!H5</f>
        <v>3.7999999999999999E-2</v>
      </c>
      <c r="K12" s="27">
        <f>Measurement!H6</f>
        <v>3.7999999999999999E-2</v>
      </c>
      <c r="L12" s="27">
        <f>Measurement!H7</f>
        <v>3.7999999999999999E-2</v>
      </c>
      <c r="M12" s="28">
        <f>Measurement!H8</f>
        <v>3.7999999999999999E-2</v>
      </c>
      <c r="N12" s="34"/>
      <c r="AA12" s="35"/>
    </row>
    <row r="13" spans="1:27" ht="20.100000000000001" customHeight="1">
      <c r="A13" s="26" t="s">
        <v>11</v>
      </c>
      <c r="B13" s="5"/>
      <c r="C13" s="31"/>
      <c r="D13" s="29"/>
      <c r="E13" s="29"/>
      <c r="F13" s="27"/>
      <c r="G13" s="27"/>
      <c r="H13" s="7"/>
      <c r="I13" s="27">
        <f>Measurement!I4</f>
        <v>6.9000000000000006E-2</v>
      </c>
      <c r="J13" s="27">
        <f>Measurement!I5</f>
        <v>7.0000000000000007E-2</v>
      </c>
      <c r="K13" s="27">
        <f>Measurement!I6</f>
        <v>7.0000000000000007E-2</v>
      </c>
      <c r="L13" s="27">
        <f>Measurement!I7</f>
        <v>7.0000000000000007E-2</v>
      </c>
      <c r="M13" s="28">
        <f>Measurement!I8</f>
        <v>6.9000000000000006E-2</v>
      </c>
      <c r="N13" s="34"/>
      <c r="AA13" s="35"/>
    </row>
    <row r="14" spans="1:27" ht="20.100000000000001" customHeight="1">
      <c r="A14" s="26" t="s">
        <v>12</v>
      </c>
      <c r="B14" s="5"/>
      <c r="C14" s="31"/>
      <c r="D14" s="29"/>
      <c r="E14" s="29"/>
      <c r="F14" s="27"/>
      <c r="G14" s="27"/>
      <c r="H14" s="7"/>
      <c r="I14" s="27">
        <f>Measurement!J4</f>
        <v>0.10199999999999999</v>
      </c>
      <c r="J14" s="27">
        <f>Measurement!J5</f>
        <v>0.10100000000000001</v>
      </c>
      <c r="K14" s="27">
        <f>Measurement!J6</f>
        <v>0.10100000000000001</v>
      </c>
      <c r="L14" s="27">
        <f>Measurement!J7</f>
        <v>0.10100000000000001</v>
      </c>
      <c r="M14" s="28">
        <f>Measurement!J8</f>
        <v>0.10100000000000001</v>
      </c>
      <c r="N14" s="34" t="s">
        <v>5</v>
      </c>
      <c r="AA14" s="35"/>
    </row>
    <row r="15" spans="1:27" ht="20.100000000000001" customHeight="1">
      <c r="A15" s="26" t="s">
        <v>13</v>
      </c>
      <c r="B15" s="5"/>
      <c r="C15" s="31"/>
      <c r="D15" s="29"/>
      <c r="E15" s="29"/>
      <c r="F15" s="27"/>
      <c r="G15" s="27"/>
      <c r="H15" s="7"/>
      <c r="I15" s="27">
        <f>Measurement!K4</f>
        <v>0.123</v>
      </c>
      <c r="J15" s="27">
        <f>Measurement!K5</f>
        <v>0.122</v>
      </c>
      <c r="K15" s="27">
        <f>Measurement!K6</f>
        <v>0.122</v>
      </c>
      <c r="L15" s="27">
        <f>Measurement!K7</f>
        <v>0.122</v>
      </c>
      <c r="M15" s="28">
        <f>Measurement!K8</f>
        <v>0.123</v>
      </c>
      <c r="N15" s="34"/>
      <c r="AA15" s="35"/>
    </row>
    <row r="16" spans="1:27" ht="20.100000000000001" customHeight="1">
      <c r="A16" s="26" t="s">
        <v>14</v>
      </c>
      <c r="B16" s="5"/>
      <c r="C16" s="28"/>
      <c r="D16" s="28"/>
      <c r="E16" s="28"/>
      <c r="F16" s="27"/>
      <c r="G16" s="27"/>
      <c r="H16" s="7"/>
      <c r="I16" s="27">
        <f>Measurement!L4</f>
        <v>0.17299999999999999</v>
      </c>
      <c r="J16" s="27">
        <f>Measurement!L5</f>
        <v>0.17199999999999999</v>
      </c>
      <c r="K16" s="27">
        <f>Measurement!L6</f>
        <v>0.17199999999999999</v>
      </c>
      <c r="L16" s="27">
        <f>Measurement!L7</f>
        <v>0.17100000000000001</v>
      </c>
      <c r="M16" s="28">
        <f>Measurement!L8</f>
        <v>0.17299999999999999</v>
      </c>
      <c r="N16" s="34"/>
      <c r="AA16" s="35"/>
    </row>
    <row r="17" spans="1:27" ht="20.100000000000001" customHeight="1">
      <c r="A17" s="26" t="s">
        <v>15</v>
      </c>
      <c r="B17" s="5"/>
      <c r="C17" s="30"/>
      <c r="D17" s="29"/>
      <c r="E17" s="27"/>
      <c r="F17" s="27"/>
      <c r="G17" s="27"/>
      <c r="H17" s="7"/>
      <c r="I17" s="27">
        <f>Measurement!M4</f>
        <v>1.4999999999999999E-2</v>
      </c>
      <c r="J17" s="27">
        <f>Measurement!M5</f>
        <v>1.6E-2</v>
      </c>
      <c r="K17" s="27">
        <f>Measurement!M6</f>
        <v>1.4999999999999999E-2</v>
      </c>
      <c r="L17" s="27">
        <f>Measurement!M7</f>
        <v>1.4999999999999999E-2</v>
      </c>
      <c r="M17" s="28">
        <f>Measurement!M8</f>
        <v>1.4999999999999999E-2</v>
      </c>
      <c r="N17" s="34"/>
      <c r="AA17" s="35"/>
    </row>
    <row r="18" spans="1:27" ht="20.100000000000001" customHeight="1">
      <c r="A18" s="26" t="s">
        <v>16</v>
      </c>
      <c r="B18" s="5"/>
      <c r="C18" s="31"/>
      <c r="D18" s="29"/>
      <c r="E18" s="29"/>
      <c r="F18" s="27"/>
      <c r="G18" s="27"/>
      <c r="H18" s="7"/>
      <c r="I18" s="27">
        <f>Measurement!N4</f>
        <v>2.1999999999999999E-2</v>
      </c>
      <c r="J18" s="27">
        <f>Measurement!N5</f>
        <v>2.1000000000000001E-2</v>
      </c>
      <c r="K18" s="27">
        <f>Measurement!N6</f>
        <v>2.1000000000000001E-2</v>
      </c>
      <c r="L18" s="27">
        <f>Measurement!N7</f>
        <v>2.1000000000000001E-2</v>
      </c>
      <c r="M18" s="28">
        <f>Measurement!N8</f>
        <v>2.1999999999999999E-2</v>
      </c>
      <c r="N18" s="34"/>
      <c r="AA18" s="35"/>
    </row>
    <row r="19" spans="1:27" ht="20.100000000000001" customHeight="1">
      <c r="A19" s="26" t="s">
        <v>17</v>
      </c>
      <c r="B19" s="5"/>
      <c r="C19" s="31"/>
      <c r="D19" s="29"/>
      <c r="E19" s="29"/>
      <c r="F19" s="27"/>
      <c r="G19" s="27"/>
      <c r="H19" s="7"/>
      <c r="I19" s="27">
        <f>Measurement!O4</f>
        <v>0</v>
      </c>
      <c r="J19" s="27">
        <f>Measurement!O5</f>
        <v>0</v>
      </c>
      <c r="K19" s="27">
        <f>Measurement!O6</f>
        <v>0</v>
      </c>
      <c r="L19" s="27">
        <f>Measurement!O7</f>
        <v>0</v>
      </c>
      <c r="M19" s="28">
        <f>Measurement!O8</f>
        <v>0</v>
      </c>
      <c r="N19" s="34"/>
      <c r="AA19" s="35"/>
    </row>
    <row r="20" spans="1:27" ht="20.100000000000001" customHeight="1">
      <c r="A20" s="26" t="s">
        <v>47</v>
      </c>
      <c r="B20" s="5"/>
      <c r="C20" s="31"/>
      <c r="D20" s="29"/>
      <c r="E20" s="29"/>
      <c r="F20" s="27"/>
      <c r="G20" s="27"/>
      <c r="H20" s="7"/>
      <c r="I20" s="27">
        <f>Measurement!P4</f>
        <v>0</v>
      </c>
      <c r="J20" s="27">
        <f>Measurement!P5</f>
        <v>0</v>
      </c>
      <c r="K20" s="27">
        <f>Measurement!P6</f>
        <v>0</v>
      </c>
      <c r="L20" s="27">
        <f>Measurement!P7</f>
        <v>0</v>
      </c>
      <c r="M20" s="28">
        <f>Measurement!P8</f>
        <v>0</v>
      </c>
      <c r="N20" s="34"/>
      <c r="AA20" s="35"/>
    </row>
    <row r="21" spans="1:27" ht="20.100000000000001" customHeight="1">
      <c r="A21" s="26" t="s">
        <v>48</v>
      </c>
      <c r="B21" s="5"/>
      <c r="C21" s="28"/>
      <c r="D21" s="28"/>
      <c r="E21" s="28"/>
      <c r="F21" s="27"/>
      <c r="G21" s="27"/>
      <c r="H21" s="7"/>
      <c r="I21" s="27"/>
      <c r="J21" s="27"/>
      <c r="K21" s="27"/>
      <c r="L21" s="27"/>
      <c r="M21" s="28"/>
      <c r="N21" s="34"/>
      <c r="Q21" s="1" t="s">
        <v>4</v>
      </c>
      <c r="AA21" s="35"/>
    </row>
    <row r="22" spans="1:27" ht="20.100000000000001" customHeight="1">
      <c r="A22" s="26" t="s">
        <v>49</v>
      </c>
      <c r="B22" s="5"/>
      <c r="C22" s="30"/>
      <c r="D22" s="28"/>
      <c r="E22" s="27"/>
      <c r="F22" s="27"/>
      <c r="G22" s="27"/>
      <c r="H22" s="7"/>
      <c r="I22" s="27"/>
      <c r="J22" s="27"/>
      <c r="K22" s="27"/>
      <c r="L22" s="27"/>
      <c r="M22" s="28"/>
      <c r="N22" s="37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27" ht="20.100000000000001" customHeight="1">
      <c r="A23" s="9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27" ht="20.100000000000001" customHeight="1">
      <c r="A24" s="9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27" ht="20.100000000000001" customHeight="1">
      <c r="A25" s="11"/>
      <c r="B25" s="12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27" ht="20.100000000000001" customHeight="1">
      <c r="A26" s="9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27">
      <c r="A27" s="9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27">
      <c r="A28" s="9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27">
      <c r="A29" s="9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27">
      <c r="A30" s="9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27">
      <c r="A31" s="9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27">
      <c r="A32" s="9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>
      <c r="A33" s="9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>
      <c r="A34" s="9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>
      <c r="A35" s="9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>
      <c r="A36" s="9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>
      <c r="A37" s="9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A38" s="9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A39" s="9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</row>
  </sheetData>
  <mergeCells count="1">
    <mergeCell ref="A1:M1"/>
  </mergeCells>
  <phoneticPr fontId="7" type="noConversion"/>
  <conditionalFormatting sqref="I7:M22">
    <cfRule type="expression" dxfId="1" priority="1">
      <formula>OR(I7&lt;$G7, I7&gt;$F7)</formula>
    </cfRule>
  </conditionalFormatting>
  <printOptions horizontalCentered="1"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06296C-3995-469C-B5F9-EAB060CCC964}">
          <x14:formula1>
            <xm:f>Source!$B$2:$B$100</xm:f>
          </x14:formula1>
          <xm:sqref>B7:B22</xm:sqref>
        </x14:dataValidation>
        <x14:dataValidation type="list" allowBlank="1" showInputMessage="1" showErrorMessage="1" xr:uid="{4C67EF38-5D4F-4607-8FE6-56E9A0A76BE2}">
          <x14:formula1>
            <xm:f>Source!$C$2:$C$100</xm:f>
          </x14:formula1>
          <xm:sqref>H7:H22</xm:sqref>
        </x14:dataValidation>
        <x14:dataValidation type="list" allowBlank="1" showInputMessage="1" showErrorMessage="1" xr:uid="{2894C79E-0A44-4C82-95A4-6957BC327C17}">
          <x14:formula1>
            <xm:f>Source!$D$2:$D$100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66A-FEA4-4C81-AF3E-682598246056}">
  <dimension ref="A1:V100"/>
  <sheetViews>
    <sheetView zoomScale="115" zoomScaleNormal="115" workbookViewId="0">
      <selection activeCell="I7" sqref="I7"/>
    </sheetView>
  </sheetViews>
  <sheetFormatPr defaultColWidth="9" defaultRowHeight="11.25"/>
  <cols>
    <col min="1" max="1" width="3.7109375" style="45" customWidth="1"/>
    <col min="2" max="2" width="7.7109375" style="61" customWidth="1"/>
    <col min="3" max="3" width="6.7109375" style="61" customWidth="1"/>
    <col min="4" max="5" width="7.7109375" style="45" customWidth="1"/>
    <col min="6" max="7" width="5.7109375" style="45" customWidth="1"/>
    <col min="8" max="8" width="9.7109375" style="45" customWidth="1"/>
    <col min="9" max="13" width="5.7109375" style="45" customWidth="1"/>
    <col min="14" max="16384" width="9" style="45"/>
  </cols>
  <sheetData>
    <row r="1" spans="1:22" ht="42" customHeight="1">
      <c r="A1" s="83" t="s">
        <v>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42"/>
      <c r="O1" s="43"/>
      <c r="P1" s="43"/>
      <c r="Q1" s="43"/>
      <c r="R1" s="43"/>
      <c r="S1" s="43"/>
      <c r="T1" s="43"/>
      <c r="U1" s="43"/>
      <c r="V1" s="44"/>
    </row>
    <row r="2" spans="1:22" ht="26.45" customHeight="1">
      <c r="A2" s="65" t="s">
        <v>3</v>
      </c>
      <c r="B2" s="66"/>
      <c r="C2" s="66"/>
      <c r="J2" s="67" t="s">
        <v>41</v>
      </c>
      <c r="K2" s="62" t="s">
        <v>51</v>
      </c>
      <c r="L2" s="64"/>
      <c r="M2" s="47"/>
      <c r="N2" s="48"/>
      <c r="V2" s="49"/>
    </row>
    <row r="3" spans="1:22" ht="26.45" customHeight="1">
      <c r="A3" s="19" t="s">
        <v>40</v>
      </c>
      <c r="B3" s="66"/>
      <c r="C3" s="66"/>
      <c r="J3" s="46" t="s">
        <v>42</v>
      </c>
      <c r="K3" s="62">
        <v>10011</v>
      </c>
      <c r="L3" s="64"/>
      <c r="M3" s="47"/>
      <c r="N3" s="48"/>
      <c r="V3" s="49"/>
    </row>
    <row r="4" spans="1:22" ht="26.45" customHeight="1">
      <c r="B4" s="45"/>
      <c r="C4" s="50"/>
      <c r="D4" s="50"/>
      <c r="J4" s="46" t="s">
        <v>43</v>
      </c>
      <c r="K4" s="46" t="s">
        <v>45</v>
      </c>
      <c r="N4" s="48"/>
      <c r="V4" s="49"/>
    </row>
    <row r="5" spans="1:22" ht="26.45" customHeight="1">
      <c r="A5" s="63"/>
      <c r="B5" s="66"/>
      <c r="C5" s="66"/>
      <c r="N5" s="48"/>
      <c r="V5" s="49"/>
    </row>
    <row r="6" spans="1:22" ht="30" customHeight="1">
      <c r="A6" s="51" t="s">
        <v>18</v>
      </c>
      <c r="B6" s="68" t="s">
        <v>19</v>
      </c>
      <c r="C6" s="68" t="s">
        <v>20</v>
      </c>
      <c r="D6" s="52" t="s">
        <v>37</v>
      </c>
      <c r="E6" s="52" t="s">
        <v>38</v>
      </c>
      <c r="F6" s="51" t="s">
        <v>21</v>
      </c>
      <c r="G6" s="51" t="s">
        <v>22</v>
      </c>
      <c r="H6" s="51" t="s">
        <v>23</v>
      </c>
      <c r="I6" s="51" t="s">
        <v>24</v>
      </c>
      <c r="J6" s="51" t="s">
        <v>25</v>
      </c>
      <c r="K6" s="51" t="s">
        <v>26</v>
      </c>
      <c r="L6" s="51" t="s">
        <v>27</v>
      </c>
      <c r="M6" s="51" t="s">
        <v>28</v>
      </c>
      <c r="N6" s="53"/>
      <c r="V6" s="49"/>
    </row>
    <row r="7" spans="1:22" ht="20.100000000000001" customHeight="1">
      <c r="A7" s="46" t="s">
        <v>0</v>
      </c>
      <c r="B7" s="69" t="s">
        <v>30</v>
      </c>
      <c r="C7" s="54">
        <v>0.13</v>
      </c>
      <c r="D7" s="54">
        <v>0.01</v>
      </c>
      <c r="E7" s="54">
        <v>0.01</v>
      </c>
      <c r="F7" s="54">
        <f>C7+D7</f>
        <v>0.14000000000000001</v>
      </c>
      <c r="G7" s="54">
        <f>C7-E7</f>
        <v>0.12000000000000001</v>
      </c>
      <c r="H7" s="46" t="s">
        <v>35</v>
      </c>
      <c r="I7" s="54">
        <f>Measurement!C4</f>
        <v>3.9E-2</v>
      </c>
      <c r="J7" s="54">
        <f>Measurement!C5</f>
        <v>3.7999999999999999E-2</v>
      </c>
      <c r="K7" s="54">
        <f>Measurement!C6</f>
        <v>3.7999999999999999E-2</v>
      </c>
      <c r="L7" s="54">
        <f>Measurement!C7</f>
        <v>3.7999999999999999E-2</v>
      </c>
      <c r="M7" s="54">
        <f>Measurement!C8</f>
        <v>3.7999999999999999E-2</v>
      </c>
      <c r="N7" s="48"/>
      <c r="V7" s="49"/>
    </row>
    <row r="8" spans="1:22" ht="20.100000000000001" customHeight="1">
      <c r="A8" s="46" t="s">
        <v>1</v>
      </c>
      <c r="B8" s="69" t="s">
        <v>30</v>
      </c>
      <c r="C8" s="54">
        <v>2.5</v>
      </c>
      <c r="D8" s="54">
        <v>0.01</v>
      </c>
      <c r="E8" s="54">
        <v>0.01</v>
      </c>
      <c r="F8" s="54">
        <f t="shared" ref="F8:F20" si="0">C8+D8</f>
        <v>2.5099999999999998</v>
      </c>
      <c r="G8" s="54">
        <f t="shared" ref="G8:G20" si="1">C8-E8</f>
        <v>2.4900000000000002</v>
      </c>
      <c r="H8" s="46" t="s">
        <v>35</v>
      </c>
      <c r="I8" s="54">
        <f>Measurement!D4</f>
        <v>7.6999999999999999E-2</v>
      </c>
      <c r="J8" s="54">
        <f>Measurement!D5</f>
        <v>7.8E-2</v>
      </c>
      <c r="K8" s="54">
        <f>Measurement!D6</f>
        <v>7.6999999999999999E-2</v>
      </c>
      <c r="L8" s="54">
        <f>Measurement!D7</f>
        <v>7.6999999999999999E-2</v>
      </c>
      <c r="M8" s="54">
        <f>Measurement!D8</f>
        <v>7.8E-2</v>
      </c>
      <c r="N8" s="48"/>
      <c r="V8" s="49"/>
    </row>
    <row r="9" spans="1:22" ht="20.100000000000001" customHeight="1">
      <c r="A9" s="46" t="s">
        <v>6</v>
      </c>
      <c r="B9" s="69" t="s">
        <v>30</v>
      </c>
      <c r="C9" s="54">
        <v>2.5</v>
      </c>
      <c r="D9" s="54">
        <v>0.01</v>
      </c>
      <c r="E9" s="54">
        <v>0.01</v>
      </c>
      <c r="F9" s="54">
        <f t="shared" si="0"/>
        <v>2.5099999999999998</v>
      </c>
      <c r="G9" s="54">
        <f t="shared" si="1"/>
        <v>2.4900000000000002</v>
      </c>
      <c r="H9" s="46" t="s">
        <v>35</v>
      </c>
      <c r="I9" s="54">
        <f>Measurement!E4</f>
        <v>5.8999999999999997E-2</v>
      </c>
      <c r="J9" s="54">
        <f>Measurement!E5</f>
        <v>5.8999999999999997E-2</v>
      </c>
      <c r="K9" s="54">
        <f>Measurement!E6</f>
        <v>5.8999999999999997E-2</v>
      </c>
      <c r="L9" s="54">
        <f>Measurement!E7</f>
        <v>5.8999999999999997E-2</v>
      </c>
      <c r="M9" s="54">
        <f>Measurement!E8</f>
        <v>5.8999999999999997E-2</v>
      </c>
      <c r="N9" s="48"/>
      <c r="V9" s="49"/>
    </row>
    <row r="10" spans="1:22" ht="20.100000000000001" customHeight="1">
      <c r="A10" s="46" t="s">
        <v>8</v>
      </c>
      <c r="B10" s="69" t="s">
        <v>30</v>
      </c>
      <c r="C10" s="54">
        <v>0.13</v>
      </c>
      <c r="D10" s="54">
        <v>0.01</v>
      </c>
      <c r="E10" s="54">
        <v>0.01</v>
      </c>
      <c r="F10" s="54">
        <f t="shared" si="0"/>
        <v>0.14000000000000001</v>
      </c>
      <c r="G10" s="54">
        <f t="shared" si="1"/>
        <v>0.12000000000000001</v>
      </c>
      <c r="H10" s="46" t="s">
        <v>35</v>
      </c>
      <c r="I10" s="54">
        <f>Measurement!F4</f>
        <v>9.7000000000000003E-2</v>
      </c>
      <c r="J10" s="54">
        <f>Measurement!F5</f>
        <v>9.7000000000000003E-2</v>
      </c>
      <c r="K10" s="54">
        <f>Measurement!F6</f>
        <v>9.7000000000000003E-2</v>
      </c>
      <c r="L10" s="54">
        <f>Measurement!F7</f>
        <v>9.7000000000000003E-2</v>
      </c>
      <c r="M10" s="54">
        <f>Measurement!F8</f>
        <v>9.7000000000000003E-2</v>
      </c>
      <c r="N10" s="48"/>
      <c r="V10" s="49"/>
    </row>
    <row r="11" spans="1:22" ht="20.100000000000001" customHeight="1">
      <c r="A11" s="46" t="s">
        <v>9</v>
      </c>
      <c r="B11" s="69" t="s">
        <v>30</v>
      </c>
      <c r="C11" s="54">
        <v>5</v>
      </c>
      <c r="D11" s="54">
        <v>0.01</v>
      </c>
      <c r="E11" s="54">
        <v>0.01</v>
      </c>
      <c r="F11" s="54">
        <f t="shared" si="0"/>
        <v>5.01</v>
      </c>
      <c r="G11" s="54">
        <f t="shared" si="1"/>
        <v>4.99</v>
      </c>
      <c r="H11" s="46" t="s">
        <v>35</v>
      </c>
      <c r="I11" s="54">
        <f>Measurement!G4</f>
        <v>2.1999999999999999E-2</v>
      </c>
      <c r="J11" s="54">
        <f>Measurement!G5</f>
        <v>2.1999999999999999E-2</v>
      </c>
      <c r="K11" s="54">
        <f>Measurement!G6</f>
        <v>2.1000000000000001E-2</v>
      </c>
      <c r="L11" s="54">
        <f>Measurement!G7</f>
        <v>2.1999999999999999E-2</v>
      </c>
      <c r="M11" s="54">
        <f>Measurement!G8</f>
        <v>2.1999999999999999E-2</v>
      </c>
      <c r="N11" s="48"/>
      <c r="V11" s="49"/>
    </row>
    <row r="12" spans="1:22" ht="20.100000000000001" customHeight="1">
      <c r="A12" s="46" t="s">
        <v>10</v>
      </c>
      <c r="B12" s="69" t="s">
        <v>30</v>
      </c>
      <c r="C12" s="54">
        <v>5</v>
      </c>
      <c r="D12" s="54">
        <v>0.01</v>
      </c>
      <c r="E12" s="54">
        <v>0.01</v>
      </c>
      <c r="F12" s="54">
        <f t="shared" si="0"/>
        <v>5.01</v>
      </c>
      <c r="G12" s="54">
        <f t="shared" si="1"/>
        <v>4.99</v>
      </c>
      <c r="H12" s="46" t="s">
        <v>35</v>
      </c>
      <c r="I12" s="54">
        <f>Measurement!H4</f>
        <v>3.6999999999999998E-2</v>
      </c>
      <c r="J12" s="54">
        <f>Measurement!H5</f>
        <v>3.7999999999999999E-2</v>
      </c>
      <c r="K12" s="54">
        <f>Measurement!H6</f>
        <v>3.7999999999999999E-2</v>
      </c>
      <c r="L12" s="54">
        <f>Measurement!H7</f>
        <v>3.7999999999999999E-2</v>
      </c>
      <c r="M12" s="54">
        <f>Measurement!H8</f>
        <v>3.7999999999999999E-2</v>
      </c>
      <c r="N12" s="48"/>
      <c r="V12" s="49"/>
    </row>
    <row r="13" spans="1:22" ht="20.100000000000001" customHeight="1">
      <c r="A13" s="46" t="s">
        <v>11</v>
      </c>
      <c r="B13" s="69" t="s">
        <v>31</v>
      </c>
      <c r="C13" s="54">
        <v>2.5</v>
      </c>
      <c r="D13" s="54">
        <v>0.01</v>
      </c>
      <c r="E13" s="54">
        <v>0.01</v>
      </c>
      <c r="F13" s="54">
        <f t="shared" si="0"/>
        <v>2.5099999999999998</v>
      </c>
      <c r="G13" s="54">
        <f t="shared" si="1"/>
        <v>2.4900000000000002</v>
      </c>
      <c r="H13" s="46" t="s">
        <v>35</v>
      </c>
      <c r="I13" s="54">
        <f>Measurement!I4</f>
        <v>6.9000000000000006E-2</v>
      </c>
      <c r="J13" s="54">
        <f>Measurement!I5</f>
        <v>7.0000000000000007E-2</v>
      </c>
      <c r="K13" s="54">
        <f>Measurement!I6</f>
        <v>7.0000000000000007E-2</v>
      </c>
      <c r="L13" s="54">
        <f>Measurement!I7</f>
        <v>7.0000000000000007E-2</v>
      </c>
      <c r="M13" s="54">
        <f>Measurement!I8</f>
        <v>6.9000000000000006E-2</v>
      </c>
      <c r="N13" s="48"/>
      <c r="V13" s="49"/>
    </row>
    <row r="14" spans="1:22" ht="20.100000000000001" customHeight="1">
      <c r="A14" s="46" t="s">
        <v>12</v>
      </c>
      <c r="B14" s="69" t="s">
        <v>32</v>
      </c>
      <c r="C14" s="54">
        <v>1</v>
      </c>
      <c r="D14" s="54">
        <v>0.01</v>
      </c>
      <c r="E14" s="54">
        <v>0.01</v>
      </c>
      <c r="F14" s="54">
        <f t="shared" si="0"/>
        <v>1.01</v>
      </c>
      <c r="G14" s="54">
        <f t="shared" si="1"/>
        <v>0.99</v>
      </c>
      <c r="H14" s="46" t="s">
        <v>35</v>
      </c>
      <c r="I14" s="54">
        <f>Measurement!J4</f>
        <v>0.10199999999999999</v>
      </c>
      <c r="J14" s="54">
        <f>Measurement!J5</f>
        <v>0.10100000000000001</v>
      </c>
      <c r="K14" s="54">
        <f>Measurement!J6</f>
        <v>0.10100000000000001</v>
      </c>
      <c r="L14" s="54">
        <f>Measurement!J7</f>
        <v>0.10100000000000001</v>
      </c>
      <c r="M14" s="54">
        <f>Measurement!J8</f>
        <v>0.10100000000000001</v>
      </c>
      <c r="N14" s="48" t="s">
        <v>5</v>
      </c>
      <c r="V14" s="49"/>
    </row>
    <row r="15" spans="1:22" ht="20.100000000000001" customHeight="1">
      <c r="A15" s="46" t="s">
        <v>13</v>
      </c>
      <c r="B15" s="69" t="s">
        <v>32</v>
      </c>
      <c r="C15" s="54">
        <v>1</v>
      </c>
      <c r="D15" s="54">
        <v>0.01</v>
      </c>
      <c r="E15" s="54">
        <v>0.01</v>
      </c>
      <c r="F15" s="54">
        <f t="shared" si="0"/>
        <v>1.01</v>
      </c>
      <c r="G15" s="54">
        <f t="shared" si="1"/>
        <v>0.99</v>
      </c>
      <c r="H15" s="46" t="s">
        <v>35</v>
      </c>
      <c r="I15" s="54">
        <f>Measurement!K4</f>
        <v>0.123</v>
      </c>
      <c r="J15" s="54">
        <f>Measurement!K5</f>
        <v>0.122</v>
      </c>
      <c r="K15" s="54">
        <f>Measurement!K6</f>
        <v>0.122</v>
      </c>
      <c r="L15" s="54">
        <f>Measurement!K7</f>
        <v>0.122</v>
      </c>
      <c r="M15" s="54">
        <f>Measurement!K8</f>
        <v>0.123</v>
      </c>
      <c r="N15" s="48"/>
      <c r="V15" s="49"/>
    </row>
    <row r="16" spans="1:22" ht="20.100000000000001" customHeight="1">
      <c r="A16" s="46" t="s">
        <v>14</v>
      </c>
      <c r="B16" s="69" t="s">
        <v>32</v>
      </c>
      <c r="C16" s="54">
        <v>1</v>
      </c>
      <c r="D16" s="54">
        <v>0.01</v>
      </c>
      <c r="E16" s="54">
        <v>0.01</v>
      </c>
      <c r="F16" s="54">
        <f t="shared" si="0"/>
        <v>1.01</v>
      </c>
      <c r="G16" s="54">
        <f t="shared" si="1"/>
        <v>0.99</v>
      </c>
      <c r="H16" s="46" t="s">
        <v>35</v>
      </c>
      <c r="I16" s="54">
        <f>Measurement!L4</f>
        <v>0.17299999999999999</v>
      </c>
      <c r="J16" s="54">
        <f>Measurement!L5</f>
        <v>0.17199999999999999</v>
      </c>
      <c r="K16" s="54">
        <f>Measurement!L6</f>
        <v>0.17199999999999999</v>
      </c>
      <c r="L16" s="54">
        <f>Measurement!L7</f>
        <v>0.17100000000000001</v>
      </c>
      <c r="M16" s="54">
        <f>Measurement!L8</f>
        <v>0.17299999999999999</v>
      </c>
      <c r="N16" s="48"/>
      <c r="V16" s="49"/>
    </row>
    <row r="17" spans="1:22" ht="20.100000000000001" customHeight="1">
      <c r="A17" s="46" t="s">
        <v>15</v>
      </c>
      <c r="B17" s="69" t="s">
        <v>32</v>
      </c>
      <c r="C17" s="54">
        <v>1</v>
      </c>
      <c r="D17" s="54">
        <v>0.01</v>
      </c>
      <c r="E17" s="54">
        <v>0.01</v>
      </c>
      <c r="F17" s="54">
        <f t="shared" si="0"/>
        <v>1.01</v>
      </c>
      <c r="G17" s="54">
        <f t="shared" si="1"/>
        <v>0.99</v>
      </c>
      <c r="H17" s="46" t="s">
        <v>35</v>
      </c>
      <c r="I17" s="54">
        <f>Measurement!M4</f>
        <v>1.4999999999999999E-2</v>
      </c>
      <c r="J17" s="54">
        <f>Measurement!M5</f>
        <v>1.6E-2</v>
      </c>
      <c r="K17" s="54">
        <f>Measurement!M6</f>
        <v>1.4999999999999999E-2</v>
      </c>
      <c r="L17" s="54">
        <f>Measurement!M7</f>
        <v>1.4999999999999999E-2</v>
      </c>
      <c r="M17" s="54">
        <f>Measurement!M8</f>
        <v>1.4999999999999999E-2</v>
      </c>
      <c r="N17" s="48"/>
      <c r="V17" s="49"/>
    </row>
    <row r="18" spans="1:22" ht="20.100000000000001" customHeight="1">
      <c r="A18" s="46" t="s">
        <v>16</v>
      </c>
      <c r="B18" s="69" t="s">
        <v>33</v>
      </c>
      <c r="C18" s="54">
        <v>0.125</v>
      </c>
      <c r="D18" s="54">
        <v>5.0000000000000001E-3</v>
      </c>
      <c r="E18" s="54">
        <v>5.0000000000000001E-3</v>
      </c>
      <c r="F18" s="54">
        <f t="shared" si="0"/>
        <v>0.13</v>
      </c>
      <c r="G18" s="54">
        <f t="shared" si="1"/>
        <v>0.12</v>
      </c>
      <c r="H18" s="46" t="s">
        <v>36</v>
      </c>
      <c r="I18" s="54">
        <f>Measurement!N4</f>
        <v>2.1999999999999999E-2</v>
      </c>
      <c r="J18" s="54">
        <f>Measurement!N5</f>
        <v>2.1000000000000001E-2</v>
      </c>
      <c r="K18" s="54">
        <f>Measurement!N6</f>
        <v>2.1000000000000001E-2</v>
      </c>
      <c r="L18" s="54">
        <f>Measurement!N7</f>
        <v>2.1000000000000001E-2</v>
      </c>
      <c r="M18" s="54">
        <f>Measurement!N8</f>
        <v>2.1999999999999999E-2</v>
      </c>
      <c r="N18" s="48"/>
      <c r="V18" s="49"/>
    </row>
    <row r="19" spans="1:22" ht="20.100000000000001" customHeight="1">
      <c r="A19" s="46" t="s">
        <v>17</v>
      </c>
      <c r="B19" s="69" t="s">
        <v>30</v>
      </c>
      <c r="C19" s="54">
        <v>6.3E-2</v>
      </c>
      <c r="D19" s="54">
        <v>5.0000000000000001E-3</v>
      </c>
      <c r="E19" s="54">
        <v>5.0000000000000001E-3</v>
      </c>
      <c r="F19" s="54">
        <f t="shared" si="0"/>
        <v>6.8000000000000005E-2</v>
      </c>
      <c r="G19" s="54">
        <f t="shared" si="1"/>
        <v>5.8000000000000003E-2</v>
      </c>
      <c r="H19" s="46" t="s">
        <v>35</v>
      </c>
      <c r="I19" s="54">
        <f>Measurement!O4</f>
        <v>0</v>
      </c>
      <c r="J19" s="54">
        <f>Measurement!O5</f>
        <v>0</v>
      </c>
      <c r="K19" s="54">
        <f>Measurement!O6</f>
        <v>0</v>
      </c>
      <c r="L19" s="54">
        <f>Measurement!O7</f>
        <v>0</v>
      </c>
      <c r="M19" s="54">
        <f>Measurement!O8</f>
        <v>0</v>
      </c>
      <c r="N19" s="48"/>
      <c r="V19" s="49"/>
    </row>
    <row r="20" spans="1:22" ht="20.100000000000001" customHeight="1">
      <c r="A20" s="46" t="s">
        <v>47</v>
      </c>
      <c r="B20" s="69" t="s">
        <v>30</v>
      </c>
      <c r="C20" s="54">
        <v>0.125</v>
      </c>
      <c r="D20" s="54">
        <v>5.0000000000000001E-3</v>
      </c>
      <c r="E20" s="54">
        <v>5.0000000000000001E-3</v>
      </c>
      <c r="F20" s="54">
        <f t="shared" si="0"/>
        <v>0.13</v>
      </c>
      <c r="G20" s="54">
        <f t="shared" si="1"/>
        <v>0.12</v>
      </c>
      <c r="H20" s="46" t="s">
        <v>35</v>
      </c>
      <c r="I20" s="54">
        <f>Measurement!P4</f>
        <v>0</v>
      </c>
      <c r="J20" s="54">
        <f>Measurement!P5</f>
        <v>0</v>
      </c>
      <c r="K20" s="54">
        <f>Measurement!P6</f>
        <v>0</v>
      </c>
      <c r="L20" s="54">
        <f>Measurement!P7</f>
        <v>0</v>
      </c>
      <c r="M20" s="54">
        <f>Measurement!P8</f>
        <v>0</v>
      </c>
      <c r="N20" s="48"/>
      <c r="V20" s="49"/>
    </row>
    <row r="21" spans="1:22" ht="20.100000000000001" customHeight="1">
      <c r="A21" s="58"/>
      <c r="B21" s="50"/>
      <c r="C21" s="50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48"/>
      <c r="V21" s="49"/>
    </row>
    <row r="22" spans="1:22" ht="20.100000000000001" customHeight="1">
      <c r="A22" s="58"/>
      <c r="B22" s="50"/>
      <c r="C22" s="50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48"/>
      <c r="V22" s="49"/>
    </row>
    <row r="23" spans="1:22" ht="20.100000000000001" customHeight="1">
      <c r="A23" s="59"/>
      <c r="B23" s="60"/>
      <c r="C23" s="50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48"/>
      <c r="V23" s="49"/>
    </row>
    <row r="24" spans="1:22" ht="20.100000000000001" customHeight="1">
      <c r="A24" s="58"/>
      <c r="B24" s="50"/>
      <c r="C24" s="50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48"/>
      <c r="V24" s="49"/>
    </row>
    <row r="25" spans="1:22" ht="20.100000000000001" customHeight="1">
      <c r="A25" s="58"/>
      <c r="B25" s="50"/>
      <c r="C25" s="50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48"/>
      <c r="V25" s="49"/>
    </row>
    <row r="26" spans="1:22" ht="20.100000000000001" customHeight="1">
      <c r="A26" s="58"/>
      <c r="B26" s="50"/>
      <c r="C26" s="50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48"/>
      <c r="V26" s="49"/>
    </row>
    <row r="27" spans="1:22" ht="20.100000000000001" customHeight="1">
      <c r="A27" s="58"/>
      <c r="B27" s="50"/>
      <c r="C27" s="50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48"/>
      <c r="V27" s="49"/>
    </row>
    <row r="28" spans="1:22" ht="20.100000000000001" customHeight="1">
      <c r="A28" s="58"/>
      <c r="B28" s="50"/>
      <c r="C28" s="50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48"/>
      <c r="V28" s="49"/>
    </row>
    <row r="29" spans="1:22" ht="20.100000000000001" customHeight="1">
      <c r="A29" s="58"/>
      <c r="B29" s="50"/>
      <c r="C29" s="50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48"/>
      <c r="V29" s="49"/>
    </row>
    <row r="30" spans="1:22" ht="20.100000000000001" customHeight="1">
      <c r="A30" s="58"/>
      <c r="B30" s="50"/>
      <c r="C30" s="50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48"/>
      <c r="V30" s="49"/>
    </row>
    <row r="31" spans="1:22" ht="20.100000000000001" customHeight="1">
      <c r="A31" s="58"/>
      <c r="B31" s="50"/>
      <c r="C31" s="50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48"/>
      <c r="V31" s="49"/>
    </row>
    <row r="32" spans="1:22" ht="20.100000000000001" customHeight="1">
      <c r="A32" s="58"/>
      <c r="B32" s="50"/>
      <c r="C32" s="50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48"/>
      <c r="V32" s="49"/>
    </row>
    <row r="33" spans="1:22" ht="20.100000000000001" customHeight="1">
      <c r="A33" s="58"/>
      <c r="B33" s="50"/>
      <c r="C33" s="50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48"/>
      <c r="V33" s="49"/>
    </row>
    <row r="34" spans="1:22" ht="20.100000000000001" customHeight="1">
      <c r="A34" s="58"/>
      <c r="B34" s="50"/>
      <c r="C34" s="50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48"/>
      <c r="V34" s="49"/>
    </row>
    <row r="35" spans="1:22" ht="20.100000000000001" customHeight="1">
      <c r="A35" s="58"/>
      <c r="B35" s="50"/>
      <c r="C35" s="50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48"/>
      <c r="V35" s="49"/>
    </row>
    <row r="36" spans="1:22" ht="20.100000000000001" customHeight="1">
      <c r="A36" s="58"/>
      <c r="B36" s="50"/>
      <c r="C36" s="50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48"/>
      <c r="V36" s="49"/>
    </row>
    <row r="37" spans="1:22" ht="20.100000000000001" customHeight="1">
      <c r="A37" s="58"/>
      <c r="B37" s="50"/>
      <c r="C37" s="50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48"/>
      <c r="V37" s="49"/>
    </row>
    <row r="38" spans="1:22" ht="20.100000000000001" customHeight="1">
      <c r="N38" s="48"/>
      <c r="V38" s="49"/>
    </row>
    <row r="39" spans="1:22" ht="20.100000000000001" customHeight="1">
      <c r="N39" s="48"/>
      <c r="V39" s="49"/>
    </row>
    <row r="40" spans="1:22" ht="20.100000000000001" customHeight="1">
      <c r="N40" s="48"/>
      <c r="V40" s="49"/>
    </row>
    <row r="41" spans="1:22" ht="20.100000000000001" customHeight="1">
      <c r="N41" s="48"/>
      <c r="V41" s="49"/>
    </row>
    <row r="42" spans="1:22" ht="20.100000000000001" customHeight="1">
      <c r="N42" s="48"/>
      <c r="V42" s="49"/>
    </row>
    <row r="43" spans="1:22" ht="20.100000000000001" customHeight="1">
      <c r="N43" s="48"/>
      <c r="V43" s="49"/>
    </row>
    <row r="44" spans="1:22" ht="20.100000000000001" customHeight="1">
      <c r="N44" s="55"/>
      <c r="O44" s="56"/>
      <c r="P44" s="56"/>
      <c r="Q44" s="56"/>
      <c r="R44" s="56"/>
      <c r="S44" s="56"/>
      <c r="T44" s="56"/>
      <c r="U44" s="56"/>
      <c r="V44" s="57"/>
    </row>
    <row r="45" spans="1:22" ht="20.100000000000001" customHeight="1"/>
    <row r="46" spans="1:22" ht="20.100000000000001" customHeight="1"/>
    <row r="47" spans="1:22" ht="20.100000000000001" customHeight="1"/>
    <row r="48" spans="1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</sheetData>
  <mergeCells count="1">
    <mergeCell ref="A1:M1"/>
  </mergeCells>
  <conditionalFormatting sqref="I7:M20">
    <cfRule type="expression" dxfId="0" priority="1">
      <formula>OR(N(I7)&gt;N($F7), N(I7)&lt;N($G7))</formula>
    </cfRule>
  </conditionalFormatting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8A1F28-4964-4C07-8CD4-6F4182D131A1}">
          <x14:formula1>
            <xm:f>Source!$D$2:$D$100</xm:f>
          </x14:formula1>
          <xm:sqref>K4</xm:sqref>
        </x14:dataValidation>
        <x14:dataValidation type="list" allowBlank="1" showInputMessage="1" showErrorMessage="1" xr:uid="{0AF9D2A0-AB18-427B-914E-3E7055FCA6A5}">
          <x14:formula1>
            <xm:f>Source!$C$2:$C$100</xm:f>
          </x14:formula1>
          <xm:sqref>H7:H20</xm:sqref>
        </x14:dataValidation>
        <x14:dataValidation type="list" allowBlank="1" showInputMessage="1" showErrorMessage="1" xr:uid="{A9276B3C-983C-4B4B-9D4A-499038F1DF36}">
          <x14:formula1>
            <xm:f>Source!$B$2:$B$100</xm:f>
          </x14:formula1>
          <xm:sqref>B7:B20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7B0A-CFC1-4849-8BF0-BC204AB729E1}">
  <dimension ref="B1:D5"/>
  <sheetViews>
    <sheetView workbookViewId="0">
      <selection activeCell="F23" sqref="F23"/>
    </sheetView>
  </sheetViews>
  <sheetFormatPr defaultRowHeight="15"/>
  <cols>
    <col min="2" max="4" width="15.7109375" style="40" customWidth="1"/>
  </cols>
  <sheetData>
    <row r="1" spans="2:4" ht="30" customHeight="1">
      <c r="B1" s="41" t="s">
        <v>29</v>
      </c>
      <c r="C1" s="41" t="s">
        <v>34</v>
      </c>
      <c r="D1" s="41" t="s">
        <v>44</v>
      </c>
    </row>
    <row r="2" spans="2:4">
      <c r="B2" s="40" t="s">
        <v>30</v>
      </c>
      <c r="C2" s="40" t="s">
        <v>35</v>
      </c>
      <c r="D2" s="40" t="s">
        <v>45</v>
      </c>
    </row>
    <row r="3" spans="2:4">
      <c r="B3" s="40" t="s">
        <v>31</v>
      </c>
      <c r="C3" s="40" t="s">
        <v>36</v>
      </c>
      <c r="D3" s="40" t="s">
        <v>46</v>
      </c>
    </row>
    <row r="4" spans="2:4">
      <c r="B4" s="40" t="s">
        <v>32</v>
      </c>
    </row>
    <row r="5" spans="2:4">
      <c r="B5" s="4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Measurement</vt:lpstr>
      <vt:lpstr>FAR</vt:lpstr>
      <vt:lpstr>FAR-v</vt:lpstr>
      <vt:lpstr>Source</vt:lpstr>
      <vt:lpstr>FAR!Print_Area</vt:lpstr>
      <vt:lpstr>'FAR-v'!Print_Area</vt:lpstr>
      <vt:lpstr>Measurement!Print_Area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2026-01-08T19:41:34Z</cp:lastPrinted>
  <dcterms:created xsi:type="dcterms:W3CDTF">2020-11-06T07:08:00Z</dcterms:created>
  <dcterms:modified xsi:type="dcterms:W3CDTF">2026-01-08T19:41:41Z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