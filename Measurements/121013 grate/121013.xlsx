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manoe\Meng\solidworks\Measurements\121013 grate\"/>
    </mc:Choice>
  </mc:AlternateContent>
  <xr:revisionPtr revIDLastSave="0" documentId="13_ncr:1_{2C15E3AB-1CAA-4876-8011-50230BACBF8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easurement" sheetId="23" r:id="rId1"/>
    <sheet name="FAR-v" sheetId="24" r:id="rId2"/>
    <sheet name="FAR" sheetId="18" r:id="rId3"/>
    <sheet name="Source" sheetId="19" r:id="rId4"/>
  </sheets>
  <definedNames>
    <definedName name="_xlnm._FilterDatabase" localSheetId="2" hidden="1">FAR!$A$6:$M$11</definedName>
    <definedName name="_xlnm._FilterDatabase" localSheetId="1" hidden="1">'FAR-v'!$A$6:$M$11</definedName>
    <definedName name="_xlnm.Print_Area" localSheetId="2">FAR!$A$1:$AA$22</definedName>
    <definedName name="_xlnm.Print_Area" localSheetId="1">'FAR-v'!$A$1:$V$44</definedName>
    <definedName name="_xlnm.Print_Area" localSheetId="0">Measurement!$B$1:$P$25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24" l="1"/>
  <c r="G7" i="24"/>
  <c r="F8" i="24"/>
  <c r="G8" i="24"/>
  <c r="F9" i="24"/>
  <c r="G9" i="24"/>
  <c r="F10" i="24"/>
  <c r="G10" i="24"/>
  <c r="F11" i="24"/>
  <c r="G11" i="24"/>
  <c r="F12" i="24"/>
  <c r="G12" i="24"/>
  <c r="F13" i="24"/>
  <c r="G13" i="24"/>
  <c r="F14" i="24"/>
  <c r="G14" i="24"/>
  <c r="F15" i="24"/>
  <c r="G15" i="24"/>
  <c r="F16" i="24"/>
  <c r="G16" i="24"/>
  <c r="F17" i="24"/>
  <c r="G17" i="24"/>
  <c r="F18" i="24"/>
  <c r="G18" i="24"/>
  <c r="F19" i="24"/>
  <c r="G19" i="24"/>
  <c r="F20" i="24"/>
  <c r="G20" i="24"/>
  <c r="I7" i="24"/>
  <c r="M20" i="24"/>
  <c r="L20" i="24"/>
  <c r="K20" i="24"/>
  <c r="J20" i="24"/>
  <c r="I20" i="24"/>
  <c r="M19" i="24"/>
  <c r="L19" i="24"/>
  <c r="K19" i="24"/>
  <c r="J19" i="24"/>
  <c r="I19" i="24"/>
  <c r="M18" i="24"/>
  <c r="L18" i="24"/>
  <c r="K18" i="24"/>
  <c r="J18" i="24"/>
  <c r="I18" i="24"/>
  <c r="M17" i="24"/>
  <c r="L17" i="24"/>
  <c r="K17" i="24"/>
  <c r="J17" i="24"/>
  <c r="I17" i="24"/>
  <c r="M16" i="24"/>
  <c r="L16" i="24"/>
  <c r="K16" i="24"/>
  <c r="J16" i="24"/>
  <c r="I16" i="24"/>
  <c r="M15" i="24"/>
  <c r="L15" i="24"/>
  <c r="K15" i="24"/>
  <c r="J15" i="24"/>
  <c r="I15" i="24"/>
  <c r="M14" i="24"/>
  <c r="L14" i="24"/>
  <c r="K14" i="24"/>
  <c r="J14" i="24"/>
  <c r="I14" i="24"/>
  <c r="M13" i="24"/>
  <c r="L13" i="24"/>
  <c r="K13" i="24"/>
  <c r="J13" i="24"/>
  <c r="I13" i="24"/>
  <c r="M12" i="24"/>
  <c r="L12" i="24"/>
  <c r="K12" i="24"/>
  <c r="J12" i="24"/>
  <c r="I12" i="24"/>
  <c r="M11" i="24"/>
  <c r="L11" i="24"/>
  <c r="K11" i="24"/>
  <c r="J11" i="24"/>
  <c r="I11" i="24"/>
  <c r="M10" i="24"/>
  <c r="L10" i="24"/>
  <c r="K10" i="24"/>
  <c r="J10" i="24"/>
  <c r="I10" i="24"/>
  <c r="M9" i="24"/>
  <c r="L9" i="24"/>
  <c r="K9" i="24"/>
  <c r="J9" i="24"/>
  <c r="I9" i="24"/>
  <c r="M8" i="24"/>
  <c r="L8" i="24"/>
  <c r="K8" i="24"/>
  <c r="J8" i="24"/>
  <c r="I8" i="24"/>
  <c r="M7" i="24"/>
  <c r="L7" i="24"/>
  <c r="K7" i="24"/>
  <c r="J7" i="24"/>
  <c r="M20" i="18"/>
  <c r="L20" i="18"/>
  <c r="K20" i="18"/>
  <c r="J20" i="18"/>
  <c r="I20" i="18"/>
  <c r="M19" i="18"/>
  <c r="L19" i="18"/>
  <c r="K19" i="18"/>
  <c r="J19" i="18"/>
  <c r="I19" i="18"/>
  <c r="M18" i="18"/>
  <c r="L18" i="18"/>
  <c r="K18" i="18"/>
  <c r="J18" i="18"/>
  <c r="I18" i="18"/>
  <c r="M17" i="18"/>
  <c r="L17" i="18"/>
  <c r="K17" i="18"/>
  <c r="J17" i="18"/>
  <c r="I17" i="18"/>
  <c r="M16" i="18"/>
  <c r="L16" i="18"/>
  <c r="K16" i="18"/>
  <c r="J16" i="18"/>
  <c r="I16" i="18"/>
  <c r="M15" i="18"/>
  <c r="L15" i="18"/>
  <c r="K15" i="18"/>
  <c r="J15" i="18"/>
  <c r="I15" i="18"/>
  <c r="M14" i="18"/>
  <c r="L14" i="18"/>
  <c r="K14" i="18"/>
  <c r="J14" i="18"/>
  <c r="I14" i="18"/>
  <c r="M13" i="18"/>
  <c r="L13" i="18"/>
  <c r="K13" i="18"/>
  <c r="J13" i="18"/>
  <c r="I13" i="18"/>
  <c r="M12" i="18"/>
  <c r="L12" i="18"/>
  <c r="K12" i="18"/>
  <c r="J12" i="18"/>
  <c r="I12" i="18"/>
  <c r="M11" i="18"/>
  <c r="L11" i="18"/>
  <c r="K11" i="18"/>
  <c r="J11" i="18"/>
  <c r="I11" i="18"/>
  <c r="M10" i="18"/>
  <c r="L10" i="18"/>
  <c r="K10" i="18"/>
  <c r="J10" i="18"/>
  <c r="I10" i="18"/>
  <c r="M9" i="18"/>
  <c r="L9" i="18"/>
  <c r="K9" i="18"/>
  <c r="J9" i="18"/>
  <c r="I9" i="18"/>
  <c r="M8" i="18"/>
  <c r="L8" i="18"/>
  <c r="K8" i="18"/>
  <c r="M7" i="18"/>
  <c r="L7" i="18"/>
  <c r="K7" i="18"/>
  <c r="J8" i="18"/>
  <c r="I8" i="18"/>
  <c r="J7" i="18"/>
  <c r="I7" i="18"/>
</calcChain>
</file>

<file path=xl/sharedStrings.xml><?xml version="1.0" encoding="utf-8"?>
<sst xmlns="http://schemas.openxmlformats.org/spreadsheetml/2006/main" count="104" uniqueCount="51">
  <si>
    <t>A</t>
  </si>
  <si>
    <t>B</t>
  </si>
  <si>
    <t>Sample Measurement Record</t>
  </si>
  <si>
    <t>Mano Engineering LLC</t>
  </si>
  <si>
    <t xml:space="preserve"> </t>
  </si>
  <si>
    <t xml:space="preserve">    </t>
  </si>
  <si>
    <t>C</t>
  </si>
  <si>
    <t>No.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</si>
  <si>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</si>
  <si>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</si>
  <si>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</si>
  <si>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</si>
  <si>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</si>
  <si>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</si>
  <si>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</si>
  <si>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</si>
  <si>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</si>
  <si>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</si>
  <si>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FAI</t>
  </si>
  <si>
    <t>Type</t>
  </si>
  <si>
    <t>Nominal</t>
  </si>
  <si>
    <t>High Limit</t>
  </si>
  <si>
    <t>Low Limit</t>
  </si>
  <si>
    <t>Method</t>
  </si>
  <si>
    <t>Sample 1</t>
  </si>
  <si>
    <t>Sample 2</t>
  </si>
  <si>
    <t>Sample 3</t>
  </si>
  <si>
    <t>Sample 4</t>
  </si>
  <si>
    <t>Sample 5</t>
  </si>
  <si>
    <t>Type Source</t>
  </si>
  <si>
    <t>Length</t>
  </si>
  <si>
    <t>Diameter</t>
  </si>
  <si>
    <t>Radius</t>
  </si>
  <si>
    <t>Thinkness</t>
  </si>
  <si>
    <t>Method Source</t>
  </si>
  <si>
    <t>VMM</t>
  </si>
  <si>
    <t>CMM / ULM</t>
  </si>
  <si>
    <t>+ Tolerance</t>
  </si>
  <si>
    <t>- Tolerance</t>
  </si>
  <si>
    <t>PO #</t>
  </si>
  <si>
    <t>2512 Northland Drive, Mendota Heights, MN 55120</t>
  </si>
  <si>
    <t xml:space="preserve">Part Name </t>
  </si>
  <si>
    <t>Part #</t>
  </si>
  <si>
    <t>Unit</t>
  </si>
  <si>
    <t>Unit Source</t>
  </si>
  <si>
    <t>Inch</t>
  </si>
  <si>
    <t>MM</t>
  </si>
  <si>
    <t>N</t>
  </si>
  <si>
    <t>O</t>
  </si>
  <si>
    <t>P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</si>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</sst>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3">
    <font>
      <sz val="11"/>
      <color theme="1"/>
      <name val="Calibri"/>
      <family val="2"/>
      <charset val="134"/>
      <scheme val="minor"/>
    </font>
    <font>
      <sz val="2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0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charset val="134"/>
      <scheme val="minor"/>
    </font>
    <font>
      <sz val="11"/>
      <color theme="0"/>
      <name val="Calibri"/>
      <family val="2"/>
      <charset val="134"/>
      <scheme val="minor"/>
    </font>
    <font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-0.2499465926084170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31937A"/>
        <bgColor indexed="64"/>
      </patternFill>
    </fill>
    <fill>
      <patternFill patternType="solid">
        <fgColor theme="0" tint="-0.14999847407452621"/>
        <bgColor indexed="64"/>
      </patternFill>
    </fill>
  </fills>
  <borders count="28">
    <border>
      <left/>
      <right/>
      <top/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indexed="64"/>
      </bottom>
      <diagonal/>
    </border>
    <border>
      <left/>
      <right style="double">
        <color auto="1"/>
      </right>
      <top style="double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/>
      <diagonal/>
    </border>
    <border>
      <left/>
      <right style="double">
        <color auto="1"/>
      </right>
      <top style="thin">
        <color auto="1"/>
      </top>
      <bottom style="double">
        <color indexed="64"/>
      </bottom>
      <diagonal/>
    </border>
    <border>
      <left style="double">
        <color auto="1"/>
      </left>
      <right style="thin">
        <color indexed="64"/>
      </right>
      <top style="thin">
        <color auto="1"/>
      </top>
      <bottom/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114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49" fontId="2" fillId="0" borderId="8" xfId="0" applyNumberFormat="1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49" fontId="2" fillId="0" borderId="0" xfId="0" applyNumberFormat="1" applyFont="1">
      <alignment vertical="center"/>
    </xf>
    <xf numFmtId="0" fontId="2" fillId="0" borderId="0" xfId="0" applyFont="1">
      <alignment vertical="center"/>
    </xf>
    <xf numFmtId="49" fontId="2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49" fontId="5" fillId="0" borderId="0" xfId="0" applyNumberFormat="1" applyFont="1">
      <alignment vertical="center"/>
    </xf>
    <xf numFmtId="0" fontId="3" fillId="0" borderId="19" xfId="0" applyFont="1" applyBorder="1" applyAlignment="1">
      <alignment horizontal="right" vertical="center"/>
    </xf>
    <xf numFmtId="0" fontId="3" fillId="0" borderId="19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0" xfId="0" applyFont="1" applyAlignment="1">
      <alignment horizontal="left" vertical="top"/>
    </xf>
    <xf numFmtId="0" fontId="6" fillId="0" borderId="0" xfId="0" applyFont="1" applyAlignment="1">
      <alignment horizontal="left"/>
    </xf>
    <xf numFmtId="49" fontId="3" fillId="0" borderId="0" xfId="0" applyNumberFormat="1" applyFont="1">
      <alignment vertical="center"/>
    </xf>
    <xf numFmtId="0" fontId="4" fillId="2" borderId="2" xfId="0" applyFont="1" applyFill="1" applyBorder="1" applyAlignment="1">
      <alignment horizontal="center" vertical="center"/>
    </xf>
    <xf numFmtId="49" fontId="4" fillId="2" borderId="8" xfId="0" applyNumberFormat="1" applyFont="1" applyFill="1" applyBorder="1" applyAlignment="1">
      <alignment horizontal="center" vertical="center"/>
    </xf>
    <xf numFmtId="0" fontId="4" fillId="2" borderId="2" xfId="0" quotePrefix="1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64" fontId="2" fillId="0" borderId="11" xfId="0" applyNumberFormat="1" applyFont="1" applyBorder="1" applyAlignment="1">
      <alignment horizontal="center" vertical="center"/>
    </xf>
    <xf numFmtId="164" fontId="2" fillId="0" borderId="2" xfId="0" applyNumberFormat="1" applyFont="1" applyBorder="1" applyAlignment="1">
      <alignment horizontal="center" vertical="center"/>
    </xf>
    <xf numFmtId="164" fontId="2" fillId="0" borderId="12" xfId="0" applyNumberFormat="1" applyFont="1" applyBorder="1" applyAlignment="1">
      <alignment horizontal="center" vertical="center"/>
    </xf>
    <xf numFmtId="164" fontId="2" fillId="0" borderId="8" xfId="0" applyNumberFormat="1" applyFont="1" applyBorder="1" applyAlignment="1">
      <alignment horizontal="center" vertical="center"/>
    </xf>
    <xf numFmtId="164" fontId="2" fillId="0" borderId="9" xfId="0" applyNumberFormat="1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23" xfId="0" applyFont="1" applyBorder="1" applyAlignment="1">
      <alignment horizontal="left" vertical="center"/>
    </xf>
    <xf numFmtId="0" fontId="2" fillId="0" borderId="21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49" fontId="9" fillId="0" borderId="0" xfId="0" applyNumberFormat="1" applyFont="1">
      <alignment vertical="center"/>
    </xf>
    <xf numFmtId="0" fontId="10" fillId="2" borderId="2" xfId="0" applyFont="1" applyFill="1" applyBorder="1" applyAlignment="1">
      <alignment horizontal="center" vertical="center" wrapText="1"/>
    </xf>
    <xf numFmtId="0" fontId="10" fillId="2" borderId="2" xfId="0" quotePrefix="1" applyFont="1" applyFill="1" applyBorder="1" applyAlignment="1">
      <alignment horizontal="center" vertical="center" wrapText="1"/>
    </xf>
    <xf numFmtId="0" fontId="9" fillId="0" borderId="23" xfId="0" applyFont="1" applyBorder="1" applyAlignment="1">
      <alignment horizontal="left" vertical="center"/>
    </xf>
    <xf numFmtId="164" fontId="9" fillId="0" borderId="2" xfId="0" applyNumberFormat="1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9" fillId="0" borderId="25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9" fillId="0" borderId="0" xfId="0" applyFont="1">
      <alignment vertical="center"/>
    </xf>
    <xf numFmtId="0" fontId="11" fillId="0" borderId="0" xfId="0" applyFont="1" applyAlignment="1">
      <alignment horizontal="right" vertical="center"/>
    </xf>
    <xf numFmtId="49" fontId="11" fillId="0" borderId="0" xfId="0" applyNumberFormat="1" applyFont="1">
      <alignment vertical="center"/>
    </xf>
    <xf numFmtId="49" fontId="9" fillId="0" borderId="0" xfId="0" applyNumberFormat="1" applyFont="1" applyAlignment="1">
      <alignment horizontal="center" vertical="center"/>
    </xf>
    <xf numFmtId="0" fontId="9" fillId="0" borderId="11" xfId="0" applyFont="1" applyBorder="1" applyAlignment="1">
      <alignment horizontal="left" vertical="center" indent="1"/>
    </xf>
    <xf numFmtId="0" fontId="9" fillId="0" borderId="0" xfId="0" applyFont="1" applyAlignment="1">
      <alignment horizontal="left" vertical="center"/>
    </xf>
    <xf numFmtId="0" fontId="9" fillId="0" borderId="26" xfId="0" applyFont="1" applyBorder="1" applyAlignment="1">
      <alignment horizontal="center" vertical="center"/>
    </xf>
    <xf numFmtId="0" fontId="12" fillId="0" borderId="0" xfId="0" applyFont="1" applyAlignment="1">
      <alignment horizontal="left"/>
    </xf>
    <xf numFmtId="49" fontId="9" fillId="0" borderId="0" xfId="0" applyNumberFormat="1" applyFont="1" applyAlignment="1">
      <alignment horizontal="left" vertical="center"/>
    </xf>
    <xf numFmtId="0" fontId="9" fillId="0" borderId="2" xfId="0" applyFont="1" applyBorder="1" applyAlignment="1">
      <alignment horizontal="center" vertical="center" wrapText="1"/>
    </xf>
    <xf numFmtId="49" fontId="10" fillId="2" borderId="2" xfId="0" applyNumberFormat="1" applyFont="1" applyFill="1" applyBorder="1" applyAlignment="1">
      <alignment horizontal="center" vertical="center" wrapText="1"/>
    </xf>
    <xf numFmtId="49" fontId="9" fillId="0" borderId="2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6" xfId="0" applyFont="1" applyBorder="1" applyAlignment="1">
      <alignment horizontal="left" vertical="center"/>
    </xf>
    <xf numFmtId="49" fontId="3" fillId="0" borderId="6" xfId="0" applyNumberFormat="1" applyFont="1" applyBorder="1" applyAlignment="1">
      <alignment horizontal="left" vertical="center"/>
    </xf>
    <xf numFmtId="0" fontId="3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horizontal="right" vertical="center"/>
    </xf>
    <xf numFmtId="0" fontId="4" fillId="2" borderId="3" xfId="0" applyFont="1" applyFill="1" applyBorder="1" applyAlignment="1">
      <alignment horizontal="center" vertical="center"/>
    </xf>
    <xf numFmtId="49" fontId="4" fillId="2" borderId="7" xfId="0" applyNumberFormat="1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15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164" fontId="2" fillId="5" borderId="8" xfId="0" applyNumberFormat="1" applyFont="1" applyFill="1" applyBorder="1" applyAlignment="1">
      <alignment horizontal="center" vertical="center"/>
    </xf>
    <xf numFmtId="164" fontId="2" fillId="5" borderId="15" xfId="0" applyNumberFormat="1" applyFont="1" applyFill="1" applyBorder="1" applyAlignment="1">
      <alignment horizontal="center" vertical="center"/>
    </xf>
    <xf numFmtId="164" fontId="2" fillId="5" borderId="9" xfId="0" applyNumberFormat="1" applyFont="1" applyFill="1" applyBorder="1" applyAlignment="1">
      <alignment horizontal="center" vertical="center"/>
    </xf>
    <xf numFmtId="164" fontId="2" fillId="5" borderId="16" xfId="0" applyNumberFormat="1" applyFont="1" applyFill="1" applyBorder="1" applyAlignment="1">
      <alignment horizontal="center" vertical="center"/>
    </xf>
    <xf numFmtId="164" fontId="2" fillId="5" borderId="27" xfId="0" applyNumberFormat="1" applyFont="1" applyFill="1" applyBorder="1" applyAlignment="1">
      <alignment horizontal="center" vertical="center"/>
    </xf>
    <xf numFmtId="164" fontId="2" fillId="5" borderId="17" xfId="0" applyNumberFormat="1" applyFont="1" applyFill="1" applyBorder="1" applyAlignment="1">
      <alignment horizontal="center" vertical="center"/>
    </xf>
    <xf numFmtId="0" fontId="9" fillId="0" borderId="21" xfId="0" applyFont="1" applyBorder="1" applyAlignment="1">
      <alignment horizontal="left" vertical="center" indent="1"/>
    </xf>
    <xf numFmtId="0" fontId="2" fillId="0" borderId="0" xfId="0" applyFont="1" applyBorder="1">
      <alignment vertical="center"/>
    </xf>
    <xf numFmtId="49" fontId="2" fillId="0" borderId="0" xfId="0" applyNumberFormat="1" applyFont="1" applyBorder="1">
      <alignment vertical="center"/>
    </xf>
    <xf numFmtId="0" fontId="5" fillId="0" borderId="0" xfId="0" applyFont="1" applyBorder="1">
      <alignment vertical="center"/>
    </xf>
    <xf numFmtId="49" fontId="5" fillId="0" borderId="0" xfId="0" applyNumberFormat="1" applyFont="1" applyBorder="1">
      <alignment vertical="center"/>
    </xf>
    <xf numFmtId="0" fontId="2" fillId="0" borderId="12" xfId="0" applyFont="1" applyBorder="1">
      <alignment vertical="center"/>
    </xf>
    <xf numFmtId="49" fontId="2" fillId="0" borderId="22" xfId="0" applyNumberFormat="1" applyFont="1" applyBorder="1">
      <alignment vertical="center"/>
    </xf>
    <xf numFmtId="0" fontId="2" fillId="0" borderId="22" xfId="0" applyFont="1" applyBorder="1">
      <alignment vertical="center"/>
    </xf>
    <xf numFmtId="0" fontId="2" fillId="0" borderId="9" xfId="0" applyFont="1" applyBorder="1">
      <alignment vertical="center"/>
    </xf>
    <xf numFmtId="0" fontId="2" fillId="0" borderId="23" xfId="0" applyFont="1" applyBorder="1">
      <alignment vertical="center"/>
    </xf>
    <xf numFmtId="0" fontId="2" fillId="0" borderId="24" xfId="0" applyFont="1" applyBorder="1">
      <alignment vertical="center"/>
    </xf>
    <xf numFmtId="0" fontId="5" fillId="0" borderId="23" xfId="0" applyFont="1" applyBorder="1" applyAlignment="1">
      <alignment horizontal="right" vertical="center"/>
    </xf>
    <xf numFmtId="0" fontId="2" fillId="0" borderId="21" xfId="0" applyFont="1" applyBorder="1">
      <alignment vertical="center"/>
    </xf>
    <xf numFmtId="49" fontId="2" fillId="0" borderId="25" xfId="0" applyNumberFormat="1" applyFont="1" applyBorder="1">
      <alignment vertical="center"/>
    </xf>
    <xf numFmtId="0" fontId="2" fillId="0" borderId="25" xfId="0" applyFont="1" applyBorder="1">
      <alignment vertical="center"/>
    </xf>
    <xf numFmtId="0" fontId="2" fillId="0" borderId="20" xfId="0" applyFont="1" applyBorder="1">
      <alignment vertical="center"/>
    </xf>
  </cellXfs>
  <cellStyles count="1">
    <cellStyle name="Normal" xfId="0" builtinId="0"/>
  </cellStyles>
  <dxfs count="2">
    <dxf>
      <fill>
        <patternFill>
          <bgColor rgb="FFFFFF00"/>
        </patternFill>
      </fill>
    </dxf>
    <dxf>
      <font>
        <color rgb="FFFF0000"/>
      </font>
      <fill>
        <patternFill patternType="none">
          <bgColor auto="1"/>
        </patternFill>
      </fill>
    </dxf>
  </dxfs>
  <tableStyles count="0" defaultTableStyle="TableStyleMedium2" defaultPivotStyle="PivotStyleLight16"/>
  <colors>
    <mruColors>
      <color rgb="FF31937A"/>
      <color rgb="FF06986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9</xdr:row>
      <xdr:rowOff>9524</xdr:rowOff>
    </xdr:from>
    <xdr:to>
      <xdr:col>15</xdr:col>
      <xdr:colOff>544707</xdr:colOff>
      <xdr:row>24</xdr:row>
      <xdr:rowOff>114299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D45BDA0C-E95F-75C7-DB03-903DDA6D55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2362199"/>
          <a:ext cx="8412357" cy="3724275"/>
        </a:xfrm>
        <a:prstGeom prst="rect">
          <a:avLst/>
        </a:prstGeom>
      </xdr:spPr>
    </xdr:pic>
    <xdr:clientData/>
  </xdr:twoCellAnchor>
  <xdr:oneCellAnchor>
    <xdr:from>
      <xdr:col>17</xdr:col>
      <xdr:colOff>0</xdr:colOff>
      <xdr:row>38</xdr:row>
      <xdr:rowOff>10219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D2A419A-8E1B-4879-BF1A-E6405F58F781}"/>
            </a:ext>
          </a:extLst>
        </xdr:cNvPr>
        <xdr:cNvSpPr txBox="1"/>
      </xdr:nvSpPr>
      <xdr:spPr>
        <a:xfrm>
          <a:off x="10201275" y="724921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 b="1">
            <a:solidFill>
              <a:srgbClr val="00B050"/>
            </a:solidFill>
          </a:endParaRPr>
        </a:p>
      </xdr:txBody>
    </xdr:sp>
    <xdr:clientData/>
  </xdr:oneCellAnchor>
  <xdr:oneCellAnchor>
    <xdr:from>
      <xdr:col>17</xdr:col>
      <xdr:colOff>0</xdr:colOff>
      <xdr:row>31</xdr:row>
      <xdr:rowOff>47649</xdr:rowOff>
    </xdr:from>
    <xdr:ext cx="184731" cy="342786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75B3B50-CD17-4A33-BBBE-67E7CD9A18B3}"/>
            </a:ext>
          </a:extLst>
        </xdr:cNvPr>
        <xdr:cNvSpPr txBox="1"/>
      </xdr:nvSpPr>
      <xdr:spPr>
        <a:xfrm>
          <a:off x="10201275" y="5953149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17</xdr:col>
      <xdr:colOff>0</xdr:colOff>
      <xdr:row>48</xdr:row>
      <xdr:rowOff>68706</xdr:rowOff>
    </xdr:from>
    <xdr:ext cx="184731" cy="342786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AF4DBC3C-8E45-4775-A76B-E826B3BD3BC5}"/>
            </a:ext>
          </a:extLst>
        </xdr:cNvPr>
        <xdr:cNvSpPr txBox="1"/>
      </xdr:nvSpPr>
      <xdr:spPr>
        <a:xfrm>
          <a:off x="10201275" y="9212706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17</xdr:col>
      <xdr:colOff>0</xdr:colOff>
      <xdr:row>31</xdr:row>
      <xdr:rowOff>37290</xdr:rowOff>
    </xdr:from>
    <xdr:ext cx="184731" cy="342786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86660DD-4FFC-4FCF-917C-31BE9256858A}"/>
            </a:ext>
          </a:extLst>
        </xdr:cNvPr>
        <xdr:cNvSpPr txBox="1"/>
      </xdr:nvSpPr>
      <xdr:spPr>
        <a:xfrm>
          <a:off x="10201275" y="5942790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17</xdr:col>
      <xdr:colOff>0</xdr:colOff>
      <xdr:row>29</xdr:row>
      <xdr:rowOff>30940</xdr:rowOff>
    </xdr:from>
    <xdr:ext cx="184731" cy="342786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BAF4802C-A359-48A5-A508-662038CB7C88}"/>
            </a:ext>
          </a:extLst>
        </xdr:cNvPr>
        <xdr:cNvSpPr txBox="1"/>
      </xdr:nvSpPr>
      <xdr:spPr>
        <a:xfrm>
          <a:off x="10201275" y="5555440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4</xdr:col>
      <xdr:colOff>49631</xdr:colOff>
      <xdr:row>9</xdr:row>
      <xdr:rowOff>91741</xdr:rowOff>
    </xdr:from>
    <xdr:ext cx="184731" cy="342786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4A3B8A26-7AB0-4193-B4BA-C2000ED1D235}"/>
            </a:ext>
          </a:extLst>
        </xdr:cNvPr>
        <xdr:cNvSpPr txBox="1"/>
      </xdr:nvSpPr>
      <xdr:spPr>
        <a:xfrm>
          <a:off x="2449931" y="1806241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1</xdr:col>
      <xdr:colOff>275056</xdr:colOff>
      <xdr:row>17</xdr:row>
      <xdr:rowOff>2172</xdr:rowOff>
    </xdr:from>
    <xdr:ext cx="184731" cy="342786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55D164BF-B338-47C1-95CD-BEA67DE59140}"/>
            </a:ext>
          </a:extLst>
        </xdr:cNvPr>
        <xdr:cNvSpPr txBox="1"/>
      </xdr:nvSpPr>
      <xdr:spPr>
        <a:xfrm>
          <a:off x="875131" y="3240672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15</xdr:col>
      <xdr:colOff>234449</xdr:colOff>
      <xdr:row>16</xdr:row>
      <xdr:rowOff>219577</xdr:rowOff>
    </xdr:from>
    <xdr:ext cx="184731" cy="342786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F020500D-B381-47A9-BA5C-6A6188F7DE58}"/>
            </a:ext>
          </a:extLst>
        </xdr:cNvPr>
        <xdr:cNvSpPr txBox="1"/>
      </xdr:nvSpPr>
      <xdr:spPr>
        <a:xfrm>
          <a:off x="9235574" y="3239002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7</xdr:col>
      <xdr:colOff>94582</xdr:colOff>
      <xdr:row>18</xdr:row>
      <xdr:rowOff>247649</xdr:rowOff>
    </xdr:from>
    <xdr:ext cx="184731" cy="342786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67CC6B9-F2A2-4AC9-826B-76ECD778F0F8}"/>
            </a:ext>
          </a:extLst>
        </xdr:cNvPr>
        <xdr:cNvSpPr txBox="1"/>
      </xdr:nvSpPr>
      <xdr:spPr>
        <a:xfrm>
          <a:off x="4295107" y="3619499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8</xdr:col>
      <xdr:colOff>56482</xdr:colOff>
      <xdr:row>17</xdr:row>
      <xdr:rowOff>19049</xdr:rowOff>
    </xdr:from>
    <xdr:ext cx="184731" cy="342786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77FEBEF7-406E-48B1-8FAD-63B3E49FDB56}"/>
            </a:ext>
          </a:extLst>
        </xdr:cNvPr>
        <xdr:cNvSpPr txBox="1"/>
      </xdr:nvSpPr>
      <xdr:spPr>
        <a:xfrm>
          <a:off x="4857082" y="3257549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7</xdr:col>
      <xdr:colOff>438150</xdr:colOff>
      <xdr:row>20</xdr:row>
      <xdr:rowOff>171450</xdr:rowOff>
    </xdr:from>
    <xdr:ext cx="184731" cy="374141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3AB8BA38-5D8A-4987-A091-EFEF571C10B7}"/>
            </a:ext>
          </a:extLst>
        </xdr:cNvPr>
        <xdr:cNvSpPr txBox="1"/>
      </xdr:nvSpPr>
      <xdr:spPr>
        <a:xfrm>
          <a:off x="4638675" y="3981450"/>
          <a:ext cx="184731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800" b="1">
            <a:solidFill>
              <a:srgbClr val="FF0000"/>
            </a:solidFill>
          </a:endParaRPr>
        </a:p>
      </xdr:txBody>
    </xdr:sp>
    <xdr:clientData/>
  </xdr:oneCellAnchor>
  <xdr:oneCellAnchor>
    <xdr:from>
      <xdr:col>1</xdr:col>
      <xdr:colOff>57150</xdr:colOff>
      <xdr:row>15</xdr:row>
      <xdr:rowOff>228600</xdr:rowOff>
    </xdr:from>
    <xdr:ext cx="293478" cy="311496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CA9B903E-44FF-45B7-817A-44CC6EF10D5E}"/>
            </a:ext>
          </a:extLst>
        </xdr:cNvPr>
        <xdr:cNvSpPr txBox="1"/>
      </xdr:nvSpPr>
      <xdr:spPr>
        <a:xfrm>
          <a:off x="657225" y="4067175"/>
          <a:ext cx="293478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 b="1">
              <a:solidFill>
                <a:srgbClr val="FF0000"/>
              </a:solidFill>
            </a:rPr>
            <a:t>A</a:t>
          </a:r>
        </a:p>
      </xdr:txBody>
    </xdr:sp>
    <xdr:clientData/>
  </xdr:oneCellAnchor>
  <xdr:oneCellAnchor>
    <xdr:from>
      <xdr:col>7</xdr:col>
      <xdr:colOff>447675</xdr:colOff>
      <xdr:row>22</xdr:row>
      <xdr:rowOff>152400</xdr:rowOff>
    </xdr:from>
    <xdr:ext cx="285335" cy="311496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6A9F24A2-22EE-4AC0-8E08-B88C734ED7D1}"/>
            </a:ext>
          </a:extLst>
        </xdr:cNvPr>
        <xdr:cNvSpPr txBox="1"/>
      </xdr:nvSpPr>
      <xdr:spPr>
        <a:xfrm>
          <a:off x="4276725" y="5724525"/>
          <a:ext cx="285335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 b="1">
              <a:solidFill>
                <a:srgbClr val="FF0000"/>
              </a:solidFill>
            </a:rPr>
            <a:t>B</a:t>
          </a:r>
        </a:p>
      </xdr:txBody>
    </xdr:sp>
    <xdr:clientData/>
  </xdr:oneCellAnchor>
  <xdr:oneCellAnchor>
    <xdr:from>
      <xdr:col>15</xdr:col>
      <xdr:colOff>200025</xdr:colOff>
      <xdr:row>22</xdr:row>
      <xdr:rowOff>123825</xdr:rowOff>
    </xdr:from>
    <xdr:ext cx="279692" cy="311496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8BAF9145-F0BE-4143-96AF-44752427F767}"/>
            </a:ext>
          </a:extLst>
        </xdr:cNvPr>
        <xdr:cNvSpPr txBox="1"/>
      </xdr:nvSpPr>
      <xdr:spPr>
        <a:xfrm>
          <a:off x="8677275" y="5695950"/>
          <a:ext cx="279692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 b="1">
              <a:solidFill>
                <a:srgbClr val="FF0000"/>
              </a:solidFill>
            </a:rPr>
            <a:t>C</a:t>
          </a:r>
        </a:p>
      </xdr:txBody>
    </xdr:sp>
    <xdr:clientData/>
  </xdr:oneCellAnchor>
  <xdr:oneCellAnchor>
    <xdr:from>
      <xdr:col>14</xdr:col>
      <xdr:colOff>142875</xdr:colOff>
      <xdr:row>9</xdr:row>
      <xdr:rowOff>152400</xdr:rowOff>
    </xdr:from>
    <xdr:ext cx="272254" cy="311496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156AD8B1-C4D5-4E71-AF0F-4929E94D5402}"/>
            </a:ext>
          </a:extLst>
        </xdr:cNvPr>
        <xdr:cNvSpPr txBox="1"/>
      </xdr:nvSpPr>
      <xdr:spPr>
        <a:xfrm>
          <a:off x="8039100" y="2505075"/>
          <a:ext cx="272254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 b="1">
              <a:solidFill>
                <a:srgbClr val="FF0000"/>
              </a:solidFill>
            </a:rPr>
            <a:t>E</a:t>
          </a:r>
        </a:p>
      </xdr:txBody>
    </xdr:sp>
    <xdr:clientData/>
  </xdr:oneCellAnchor>
  <xdr:oneCellAnchor>
    <xdr:from>
      <xdr:col>14</xdr:col>
      <xdr:colOff>85725</xdr:colOff>
      <xdr:row>11</xdr:row>
      <xdr:rowOff>209550</xdr:rowOff>
    </xdr:from>
    <xdr:ext cx="267061" cy="311496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168469ED-2160-4985-A721-4A8DF8726217}"/>
            </a:ext>
          </a:extLst>
        </xdr:cNvPr>
        <xdr:cNvSpPr txBox="1"/>
      </xdr:nvSpPr>
      <xdr:spPr>
        <a:xfrm>
          <a:off x="7981950" y="3057525"/>
          <a:ext cx="267061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 b="1">
              <a:solidFill>
                <a:srgbClr val="FF0000"/>
              </a:solidFill>
            </a:rPr>
            <a:t>F</a:t>
          </a:r>
        </a:p>
      </xdr:txBody>
    </xdr:sp>
    <xdr:clientData/>
  </xdr:oneCellAnchor>
  <xdr:oneCellAnchor>
    <xdr:from>
      <xdr:col>2</xdr:col>
      <xdr:colOff>109045</xdr:colOff>
      <xdr:row>23</xdr:row>
      <xdr:rowOff>58463</xdr:rowOff>
    </xdr:from>
    <xdr:ext cx="297838" cy="311496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2EE1B2DC-8A6D-4F8C-9C42-7A0FEC64C0AF}"/>
            </a:ext>
          </a:extLst>
        </xdr:cNvPr>
        <xdr:cNvSpPr txBox="1"/>
      </xdr:nvSpPr>
      <xdr:spPr>
        <a:xfrm>
          <a:off x="1028700" y="5917980"/>
          <a:ext cx="297838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 b="1">
              <a:solidFill>
                <a:srgbClr val="FF0000"/>
              </a:solidFill>
            </a:rPr>
            <a:t>D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0</xdr:colOff>
      <xdr:row>39</xdr:row>
      <xdr:rowOff>10219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07897D2-7FAB-4981-9C2C-28663F382B64}"/>
            </a:ext>
          </a:extLst>
        </xdr:cNvPr>
        <xdr:cNvSpPr txBox="1"/>
      </xdr:nvSpPr>
      <xdr:spPr>
        <a:xfrm>
          <a:off x="8629650" y="943044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 b="1">
            <a:solidFill>
              <a:srgbClr val="00B050"/>
            </a:solidFill>
          </a:endParaRPr>
        </a:p>
      </xdr:txBody>
    </xdr:sp>
    <xdr:clientData/>
  </xdr:oneCellAnchor>
  <xdr:oneCellAnchor>
    <xdr:from>
      <xdr:col>13</xdr:col>
      <xdr:colOff>0</xdr:colOff>
      <xdr:row>32</xdr:row>
      <xdr:rowOff>47649</xdr:rowOff>
    </xdr:from>
    <xdr:ext cx="184731" cy="342786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0FB1775-C7D2-403F-AFDE-9DEE2128CF16}"/>
            </a:ext>
          </a:extLst>
        </xdr:cNvPr>
        <xdr:cNvSpPr txBox="1"/>
      </xdr:nvSpPr>
      <xdr:spPr>
        <a:xfrm>
          <a:off x="8629650" y="8401074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13</xdr:col>
      <xdr:colOff>0</xdr:colOff>
      <xdr:row>49</xdr:row>
      <xdr:rowOff>68706</xdr:rowOff>
    </xdr:from>
    <xdr:ext cx="184731" cy="342786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4E00625-5AA1-4DC6-8D00-785113D51288}"/>
            </a:ext>
          </a:extLst>
        </xdr:cNvPr>
        <xdr:cNvSpPr txBox="1"/>
      </xdr:nvSpPr>
      <xdr:spPr>
        <a:xfrm>
          <a:off x="8629650" y="11012931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13</xdr:col>
      <xdr:colOff>0</xdr:colOff>
      <xdr:row>32</xdr:row>
      <xdr:rowOff>37290</xdr:rowOff>
    </xdr:from>
    <xdr:ext cx="184731" cy="342786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FF69007-6D75-4EEE-AEBA-9E16311DD191}"/>
            </a:ext>
          </a:extLst>
        </xdr:cNvPr>
        <xdr:cNvSpPr txBox="1"/>
      </xdr:nvSpPr>
      <xdr:spPr>
        <a:xfrm>
          <a:off x="8629650" y="8390715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13</xdr:col>
      <xdr:colOff>0</xdr:colOff>
      <xdr:row>30</xdr:row>
      <xdr:rowOff>30940</xdr:rowOff>
    </xdr:from>
    <xdr:ext cx="184731" cy="342786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670016BB-B4A9-4EAE-AE16-24DC37D095F4}"/>
            </a:ext>
          </a:extLst>
        </xdr:cNvPr>
        <xdr:cNvSpPr txBox="1"/>
      </xdr:nvSpPr>
      <xdr:spPr>
        <a:xfrm>
          <a:off x="8629650" y="8079565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3</xdr:col>
      <xdr:colOff>49631</xdr:colOff>
      <xdr:row>12</xdr:row>
      <xdr:rowOff>91741</xdr:rowOff>
    </xdr:from>
    <xdr:ext cx="184731" cy="342786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D377416F-866F-4B71-9489-F66E03B8A6EE}"/>
            </a:ext>
          </a:extLst>
        </xdr:cNvPr>
        <xdr:cNvSpPr txBox="1"/>
      </xdr:nvSpPr>
      <xdr:spPr>
        <a:xfrm>
          <a:off x="1802231" y="3758866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0</xdr:col>
      <xdr:colOff>275056</xdr:colOff>
      <xdr:row>20</xdr:row>
      <xdr:rowOff>0</xdr:rowOff>
    </xdr:from>
    <xdr:ext cx="184731" cy="342786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F6D3FD88-D247-4917-9653-BD75E6742088}"/>
            </a:ext>
          </a:extLst>
        </xdr:cNvPr>
        <xdr:cNvSpPr txBox="1"/>
      </xdr:nvSpPr>
      <xdr:spPr>
        <a:xfrm>
          <a:off x="275056" y="5650497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13</xdr:col>
      <xdr:colOff>0</xdr:colOff>
      <xdr:row>19</xdr:row>
      <xdr:rowOff>219577</xdr:rowOff>
    </xdr:from>
    <xdr:ext cx="184731" cy="342786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9566B1DF-FC3C-40D8-BF2E-0304D7060612}"/>
            </a:ext>
          </a:extLst>
        </xdr:cNvPr>
        <xdr:cNvSpPr txBox="1"/>
      </xdr:nvSpPr>
      <xdr:spPr>
        <a:xfrm>
          <a:off x="8629650" y="5620252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6</xdr:col>
      <xdr:colOff>94582</xdr:colOff>
      <xdr:row>20</xdr:row>
      <xdr:rowOff>0</xdr:rowOff>
    </xdr:from>
    <xdr:ext cx="184731" cy="342786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416C146B-50F6-4C2B-9AFF-F8A24D14867C}"/>
            </a:ext>
          </a:extLst>
        </xdr:cNvPr>
        <xdr:cNvSpPr txBox="1"/>
      </xdr:nvSpPr>
      <xdr:spPr>
        <a:xfrm>
          <a:off x="4056982" y="6143624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7</xdr:col>
      <xdr:colOff>56482</xdr:colOff>
      <xdr:row>20</xdr:row>
      <xdr:rowOff>0</xdr:rowOff>
    </xdr:from>
    <xdr:ext cx="184731" cy="342786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AFED48B3-12C6-4E97-AA99-88EF53728923}"/>
            </a:ext>
          </a:extLst>
        </xdr:cNvPr>
        <xdr:cNvSpPr txBox="1"/>
      </xdr:nvSpPr>
      <xdr:spPr>
        <a:xfrm>
          <a:off x="4666582" y="5667374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6</xdr:col>
      <xdr:colOff>438150</xdr:colOff>
      <xdr:row>21</xdr:row>
      <xdr:rowOff>171450</xdr:rowOff>
    </xdr:from>
    <xdr:ext cx="184731" cy="374141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D1117841-471F-4C92-A89D-D301F551FE80}"/>
            </a:ext>
          </a:extLst>
        </xdr:cNvPr>
        <xdr:cNvSpPr txBox="1"/>
      </xdr:nvSpPr>
      <xdr:spPr>
        <a:xfrm>
          <a:off x="4400550" y="6562725"/>
          <a:ext cx="184731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800" b="1">
            <a:solidFill>
              <a:srgbClr val="FF0000"/>
            </a:solidFill>
          </a:endParaRP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0</xdr:colOff>
      <xdr:row>41</xdr:row>
      <xdr:rowOff>10219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C1FCEAF-2A66-4249-BA15-C492EF12E777}"/>
            </a:ext>
          </a:extLst>
        </xdr:cNvPr>
        <xdr:cNvSpPr txBox="1"/>
      </xdr:nvSpPr>
      <xdr:spPr>
        <a:xfrm>
          <a:off x="9001125" y="724921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 b="1">
            <a:solidFill>
              <a:srgbClr val="00B050"/>
            </a:solidFill>
          </a:endParaRPr>
        </a:p>
      </xdr:txBody>
    </xdr:sp>
    <xdr:clientData/>
  </xdr:oneCellAnchor>
  <xdr:oneCellAnchor>
    <xdr:from>
      <xdr:col>13</xdr:col>
      <xdr:colOff>0</xdr:colOff>
      <xdr:row>34</xdr:row>
      <xdr:rowOff>47649</xdr:rowOff>
    </xdr:from>
    <xdr:ext cx="184731" cy="342786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BDAFBCA-4F4F-4A44-B2D5-8FAF0A48D423}"/>
            </a:ext>
          </a:extLst>
        </xdr:cNvPr>
        <xdr:cNvSpPr txBox="1"/>
      </xdr:nvSpPr>
      <xdr:spPr>
        <a:xfrm>
          <a:off x="9001125" y="5953149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13</xdr:col>
      <xdr:colOff>0</xdr:colOff>
      <xdr:row>51</xdr:row>
      <xdr:rowOff>68706</xdr:rowOff>
    </xdr:from>
    <xdr:ext cx="184731" cy="342786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B2309871-6788-4CF4-BF96-F9537393E2EB}"/>
            </a:ext>
          </a:extLst>
        </xdr:cNvPr>
        <xdr:cNvSpPr txBox="1"/>
      </xdr:nvSpPr>
      <xdr:spPr>
        <a:xfrm>
          <a:off x="9001125" y="9212706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13</xdr:col>
      <xdr:colOff>0</xdr:colOff>
      <xdr:row>34</xdr:row>
      <xdr:rowOff>37290</xdr:rowOff>
    </xdr:from>
    <xdr:ext cx="184731" cy="342786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CF78F67-6DDA-4141-B83B-0346F2150839}"/>
            </a:ext>
          </a:extLst>
        </xdr:cNvPr>
        <xdr:cNvSpPr txBox="1"/>
      </xdr:nvSpPr>
      <xdr:spPr>
        <a:xfrm>
          <a:off x="9001125" y="5942790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13</xdr:col>
      <xdr:colOff>0</xdr:colOff>
      <xdr:row>32</xdr:row>
      <xdr:rowOff>30940</xdr:rowOff>
    </xdr:from>
    <xdr:ext cx="184731" cy="342786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78774EDF-8A40-4892-A17D-7FD7E750DF2D}"/>
            </a:ext>
          </a:extLst>
        </xdr:cNvPr>
        <xdr:cNvSpPr txBox="1"/>
      </xdr:nvSpPr>
      <xdr:spPr>
        <a:xfrm>
          <a:off x="9001125" y="5555440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3</xdr:col>
      <xdr:colOff>49631</xdr:colOff>
      <xdr:row>12</xdr:row>
      <xdr:rowOff>91741</xdr:rowOff>
    </xdr:from>
    <xdr:ext cx="184731" cy="342786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226723C4-4334-480B-A54E-401C8BFA27B4}"/>
            </a:ext>
          </a:extLst>
        </xdr:cNvPr>
        <xdr:cNvSpPr txBox="1"/>
      </xdr:nvSpPr>
      <xdr:spPr>
        <a:xfrm>
          <a:off x="1849856" y="1806241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0</xdr:col>
      <xdr:colOff>275056</xdr:colOff>
      <xdr:row>20</xdr:row>
      <xdr:rowOff>2172</xdr:rowOff>
    </xdr:from>
    <xdr:ext cx="184731" cy="342786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C990CF3B-C718-42EC-8518-F5EF92949F47}"/>
            </a:ext>
          </a:extLst>
        </xdr:cNvPr>
        <xdr:cNvSpPr txBox="1"/>
      </xdr:nvSpPr>
      <xdr:spPr>
        <a:xfrm>
          <a:off x="275056" y="3240672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13</xdr:col>
      <xdr:colOff>0</xdr:colOff>
      <xdr:row>19</xdr:row>
      <xdr:rowOff>219577</xdr:rowOff>
    </xdr:from>
    <xdr:ext cx="184731" cy="342786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D2C86405-6FDC-4837-89BD-D1435CAD1986}"/>
            </a:ext>
          </a:extLst>
        </xdr:cNvPr>
        <xdr:cNvSpPr txBox="1"/>
      </xdr:nvSpPr>
      <xdr:spPr>
        <a:xfrm>
          <a:off x="8035424" y="3239002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6</xdr:col>
      <xdr:colOff>94582</xdr:colOff>
      <xdr:row>21</xdr:row>
      <xdr:rowOff>247649</xdr:rowOff>
    </xdr:from>
    <xdr:ext cx="184731" cy="342786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4B41712F-6C2E-47E2-A337-429A0873E284}"/>
            </a:ext>
          </a:extLst>
        </xdr:cNvPr>
        <xdr:cNvSpPr txBox="1"/>
      </xdr:nvSpPr>
      <xdr:spPr>
        <a:xfrm>
          <a:off x="3695032" y="3619499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7</xdr:col>
      <xdr:colOff>56482</xdr:colOff>
      <xdr:row>20</xdr:row>
      <xdr:rowOff>19049</xdr:rowOff>
    </xdr:from>
    <xdr:ext cx="184731" cy="342786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6C8AC109-18A4-4C5D-98D2-ECE75FDA697C}"/>
            </a:ext>
          </a:extLst>
        </xdr:cNvPr>
        <xdr:cNvSpPr txBox="1"/>
      </xdr:nvSpPr>
      <xdr:spPr>
        <a:xfrm>
          <a:off x="4257007" y="3257549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6</xdr:col>
      <xdr:colOff>438150</xdr:colOff>
      <xdr:row>23</xdr:row>
      <xdr:rowOff>171450</xdr:rowOff>
    </xdr:from>
    <xdr:ext cx="184731" cy="374141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86EF6045-7EF8-43E6-A3AF-ECE8D056231E}"/>
            </a:ext>
          </a:extLst>
        </xdr:cNvPr>
        <xdr:cNvSpPr txBox="1"/>
      </xdr:nvSpPr>
      <xdr:spPr>
        <a:xfrm>
          <a:off x="4038600" y="3981450"/>
          <a:ext cx="184731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800" b="1">
            <a:solidFill>
              <a:srgbClr val="FF0000"/>
            </a:solidFill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">
  <a:themeElements>
    <a:clrScheme name="黄绿色">
      <a:dk1>
        <a:sysClr val="windowText" lastClr="000000"/>
      </a:dk1>
      <a:lt1>
        <a:sysClr val="window" lastClr="FFFFFF"/>
      </a:lt1>
      <a:dk2>
        <a:srgbClr val="455F51"/>
      </a:dk2>
      <a:lt2>
        <a:srgbClr val="E2DFCC"/>
      </a:lt2>
      <a:accent1>
        <a:srgbClr val="99CB38"/>
      </a:accent1>
      <a:accent2>
        <a:srgbClr val="63A537"/>
      </a:accent2>
      <a:accent3>
        <a:srgbClr val="37A76F"/>
      </a:accent3>
      <a:accent4>
        <a:srgbClr val="44C1A3"/>
      </a:accent4>
      <a:accent5>
        <a:srgbClr val="4EB3CF"/>
      </a:accent5>
      <a:accent6>
        <a:srgbClr val="51C3F9"/>
      </a:accent6>
      <a:hlink>
        <a:srgbClr val="EE7B08"/>
      </a:hlink>
      <a:folHlink>
        <a:srgbClr val="977B2D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F2311-3373-4FC8-A169-706E5AD80554}">
  <dimension ref="B1:AA36"/>
  <sheetViews>
    <sheetView tabSelected="1" zoomScale="130" zoomScaleNormal="130" workbookViewId="0">
      <selection activeCell="S22" sqref="S22"/>
    </sheetView>
  </sheetViews>
  <sheetFormatPr defaultColWidth="9" defaultRowHeight="12"/>
  <cols>
    <col min="1" max="1" width="9" style="1"/>
    <col min="2" max="2" width="4.85546875" style="1" customWidth="1"/>
    <col min="3" max="4" width="8.7109375" style="10" customWidth="1"/>
    <col min="5" max="16" width="8.7109375" style="1" customWidth="1"/>
    <col min="17" max="18" width="9.28515625" style="1" customWidth="1"/>
    <col min="19" max="16384" width="9" style="1"/>
  </cols>
  <sheetData>
    <row r="1" spans="2:27" ht="30" customHeight="1">
      <c r="B1" s="83" t="s">
        <v>2</v>
      </c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70"/>
    </row>
    <row r="2" spans="2:27" ht="26.45" customHeight="1" thickBot="1">
      <c r="B2" s="71" t="s">
        <v>3</v>
      </c>
      <c r="C2" s="72"/>
      <c r="D2" s="72"/>
      <c r="E2" s="73"/>
      <c r="F2" s="73"/>
      <c r="G2" s="73"/>
      <c r="H2" s="73"/>
      <c r="I2" s="73"/>
      <c r="J2" s="73"/>
      <c r="K2" s="73"/>
      <c r="L2" s="73"/>
      <c r="M2" s="73"/>
      <c r="N2" s="73"/>
      <c r="O2" s="74" t="s">
        <v>42</v>
      </c>
      <c r="P2" s="71">
        <v>121013</v>
      </c>
      <c r="Q2" s="84"/>
    </row>
    <row r="3" spans="2:27" ht="24.95" customHeight="1" thickTop="1">
      <c r="B3" s="75" t="s">
        <v>7</v>
      </c>
      <c r="C3" s="76" t="s">
        <v>0</v>
      </c>
      <c r="D3" s="76" t="s">
        <v>1</v>
      </c>
      <c r="E3" s="77" t="s">
        <v>6</v>
      </c>
      <c r="F3" s="78" t="s">
        <v>8</v>
      </c>
      <c r="G3" s="78" t="s">
        <v>9</v>
      </c>
      <c r="H3" s="78" t="s">
        <v>10</v>
      </c>
      <c r="I3" s="78" t="s">
        <v>11</v>
      </c>
      <c r="J3" s="78" t="s">
        <v>12</v>
      </c>
      <c r="K3" s="78" t="s">
        <v>13</v>
      </c>
      <c r="L3" s="78" t="s">
        <v>14</v>
      </c>
      <c r="M3" s="78" t="s">
        <v>15</v>
      </c>
      <c r="N3" s="77" t="s">
        <v>16</v>
      </c>
      <c r="O3" s="78" t="s">
        <v>17</v>
      </c>
      <c r="P3" s="79" t="s">
        <v>47</v>
      </c>
      <c r="Q3" s="85"/>
      <c r="R3" s="86"/>
      <c r="T3" s="87"/>
    </row>
    <row r="4" spans="2:27" ht="20.100000000000001" customHeight="1">
      <c r="B4" s="80">
        <v>1</v>
      </c>
      <c r="C4" s="30">
        <v>36.125</v>
      </c>
      <c r="D4" s="30">
        <v>36.125</v>
      </c>
      <c r="E4" s="30">
        <v>1.3875</v>
      </c>
      <c r="F4" s="30">
        <v>1.5015000000000001</v>
      </c>
      <c r="G4" s="30">
        <v>1.5075000000000001</v>
      </c>
      <c r="H4" s="30">
        <v>0.26300000000000001</v>
      </c>
      <c r="I4" s="92"/>
      <c r="J4" s="92"/>
      <c r="K4" s="92"/>
      <c r="L4" s="92"/>
      <c r="M4" s="92"/>
      <c r="N4" s="92"/>
      <c r="O4" s="92"/>
      <c r="P4" s="93"/>
      <c r="Q4" s="80"/>
      <c r="R4" s="88"/>
    </row>
    <row r="5" spans="2:27" ht="20.100000000000001" customHeight="1">
      <c r="B5" s="80">
        <v>2</v>
      </c>
      <c r="C5" s="31">
        <v>36.125</v>
      </c>
      <c r="D5" s="31">
        <v>36.125</v>
      </c>
      <c r="E5" s="31">
        <v>1.401</v>
      </c>
      <c r="F5" s="31">
        <v>1.5044999999999999</v>
      </c>
      <c r="G5" s="31">
        <v>1.5085</v>
      </c>
      <c r="H5" s="31">
        <v>0.27200000000000002</v>
      </c>
      <c r="I5" s="94"/>
      <c r="J5" s="94"/>
      <c r="K5" s="94"/>
      <c r="L5" s="94"/>
      <c r="M5" s="94"/>
      <c r="N5" s="94"/>
      <c r="O5" s="94"/>
      <c r="P5" s="95"/>
      <c r="Q5" s="89"/>
      <c r="R5" s="90"/>
    </row>
    <row r="6" spans="2:27" ht="20.100000000000001" customHeight="1">
      <c r="B6" s="80">
        <v>3</v>
      </c>
      <c r="C6" s="30">
        <v>36.125</v>
      </c>
      <c r="D6" s="30">
        <v>36.125</v>
      </c>
      <c r="E6" s="30">
        <v>1.4490000000000001</v>
      </c>
      <c r="F6" s="30">
        <v>1.5055000000000001</v>
      </c>
      <c r="G6" s="30">
        <v>1.5149999999999999</v>
      </c>
      <c r="H6" s="30">
        <v>0.27450000000000002</v>
      </c>
      <c r="I6" s="92"/>
      <c r="J6" s="92"/>
      <c r="K6" s="92"/>
      <c r="L6" s="92"/>
      <c r="M6" s="92"/>
      <c r="N6" s="92"/>
      <c r="O6" s="92"/>
      <c r="P6" s="93"/>
      <c r="Q6" s="89"/>
      <c r="R6" s="90"/>
    </row>
    <row r="7" spans="2:27" ht="20.100000000000001" customHeight="1">
      <c r="B7" s="80">
        <v>4</v>
      </c>
      <c r="C7" s="94"/>
      <c r="D7" s="94"/>
      <c r="E7" s="94"/>
      <c r="F7" s="94"/>
      <c r="G7" s="94"/>
      <c r="H7" s="94"/>
      <c r="I7" s="94"/>
      <c r="J7" s="94"/>
      <c r="K7" s="94"/>
      <c r="L7" s="94"/>
      <c r="M7" s="94"/>
      <c r="N7" s="94"/>
      <c r="O7" s="94"/>
      <c r="P7" s="95"/>
      <c r="Q7" s="89"/>
      <c r="R7" s="90"/>
    </row>
    <row r="8" spans="2:27" ht="20.100000000000001" customHeight="1" thickBot="1">
      <c r="B8" s="81">
        <v>5</v>
      </c>
      <c r="C8" s="96"/>
      <c r="D8" s="96"/>
      <c r="E8" s="96"/>
      <c r="F8" s="96"/>
      <c r="G8" s="96"/>
      <c r="H8" s="96"/>
      <c r="I8" s="96"/>
      <c r="J8" s="96"/>
      <c r="K8" s="96"/>
      <c r="L8" s="96"/>
      <c r="M8" s="96"/>
      <c r="N8" s="96"/>
      <c r="O8" s="96"/>
      <c r="P8" s="97"/>
      <c r="Q8" s="81"/>
      <c r="R8" s="91"/>
    </row>
    <row r="9" spans="2:27" ht="6.75" customHeight="1" thickTop="1"/>
    <row r="10" spans="2:27" ht="20.100000000000001" customHeight="1">
      <c r="B10" s="103"/>
      <c r="C10" s="104"/>
      <c r="D10" s="104"/>
      <c r="E10" s="105"/>
      <c r="F10" s="105"/>
      <c r="G10" s="105"/>
      <c r="H10" s="105"/>
      <c r="I10" s="105"/>
      <c r="J10" s="105"/>
      <c r="K10" s="105"/>
      <c r="L10" s="105"/>
      <c r="M10" s="105"/>
      <c r="N10" s="105"/>
      <c r="O10" s="105"/>
      <c r="P10" s="106"/>
      <c r="Q10" s="9"/>
    </row>
    <row r="11" spans="2:27" ht="20.100000000000001" customHeight="1">
      <c r="B11" s="107"/>
      <c r="C11" s="100"/>
      <c r="D11" s="100"/>
      <c r="E11" s="99"/>
      <c r="F11" s="99"/>
      <c r="G11" s="99"/>
      <c r="H11" s="99"/>
      <c r="I11" s="99"/>
      <c r="J11" s="99"/>
      <c r="K11" s="99"/>
      <c r="L11" s="99"/>
      <c r="M11" s="99"/>
      <c r="N11" s="99"/>
      <c r="O11" s="99"/>
      <c r="P11" s="108"/>
      <c r="Q11" s="9"/>
      <c r="T11" s="1" t="s">
        <v>5</v>
      </c>
    </row>
    <row r="12" spans="2:27" ht="20.100000000000001" customHeight="1">
      <c r="B12" s="107"/>
      <c r="C12" s="100"/>
      <c r="D12" s="100"/>
      <c r="E12" s="99"/>
      <c r="F12" s="99"/>
      <c r="G12" s="99"/>
      <c r="H12" s="99"/>
      <c r="I12" s="99"/>
      <c r="J12" s="99"/>
      <c r="K12" s="99"/>
      <c r="L12" s="99"/>
      <c r="M12" s="101"/>
      <c r="N12" s="99"/>
      <c r="O12" s="99"/>
      <c r="P12" s="108"/>
      <c r="Q12" s="9"/>
    </row>
    <row r="13" spans="2:27" ht="20.100000000000001" customHeight="1">
      <c r="B13" s="107"/>
      <c r="C13" s="100"/>
      <c r="D13" s="100"/>
      <c r="E13" s="99"/>
      <c r="F13" s="99"/>
      <c r="G13" s="99"/>
      <c r="H13" s="99"/>
      <c r="I13" s="99"/>
      <c r="J13" s="99"/>
      <c r="K13" s="99"/>
      <c r="L13" s="99"/>
      <c r="M13" s="99"/>
      <c r="N13" s="99"/>
      <c r="O13" s="99"/>
      <c r="P13" s="108"/>
      <c r="Q13" s="9"/>
    </row>
    <row r="14" spans="2:27" ht="20.100000000000001" customHeight="1">
      <c r="B14" s="107"/>
      <c r="C14" s="100"/>
      <c r="D14" s="100"/>
      <c r="E14" s="99"/>
      <c r="F14" s="99"/>
      <c r="G14" s="99"/>
      <c r="H14" s="99"/>
      <c r="I14" s="99"/>
      <c r="J14" s="99"/>
      <c r="K14" s="99"/>
      <c r="L14" s="99"/>
      <c r="M14" s="99"/>
      <c r="N14" s="99"/>
      <c r="O14" s="99"/>
      <c r="P14" s="108"/>
      <c r="Q14" s="9"/>
    </row>
    <row r="15" spans="2:27" ht="20.100000000000001" customHeight="1">
      <c r="B15" s="107"/>
      <c r="C15" s="100"/>
      <c r="D15" s="100"/>
      <c r="E15" s="99"/>
      <c r="F15" s="99"/>
      <c r="G15" s="99"/>
      <c r="H15" s="99"/>
      <c r="I15" s="99"/>
      <c r="J15" s="99"/>
      <c r="K15" s="99"/>
      <c r="L15" s="99"/>
      <c r="M15" s="99"/>
      <c r="N15" s="99"/>
      <c r="O15" s="99"/>
      <c r="P15" s="108"/>
      <c r="Q15" s="9"/>
    </row>
    <row r="16" spans="2:27" ht="20.100000000000001" customHeight="1">
      <c r="B16" s="107"/>
      <c r="C16" s="100"/>
      <c r="D16" s="100"/>
      <c r="E16" s="99"/>
      <c r="F16" s="99"/>
      <c r="G16" s="99"/>
      <c r="H16" s="99"/>
      <c r="I16" s="99"/>
      <c r="J16" s="99"/>
      <c r="K16" s="99"/>
      <c r="L16" s="99"/>
      <c r="M16" s="99"/>
      <c r="N16" s="99"/>
      <c r="O16" s="99"/>
      <c r="P16" s="108"/>
      <c r="Q16" s="9"/>
      <c r="AA16" s="1" t="s">
        <v>50</v>
      </c>
    </row>
    <row r="17" spans="2:23" ht="20.100000000000001" customHeight="1">
      <c r="B17" s="107"/>
      <c r="C17" s="100"/>
      <c r="D17" s="100"/>
      <c r="E17" s="99"/>
      <c r="F17" s="99"/>
      <c r="G17" s="99"/>
      <c r="H17" s="99"/>
      <c r="I17" s="99"/>
      <c r="J17" s="99"/>
      <c r="K17" s="99"/>
      <c r="L17" s="99"/>
      <c r="M17" s="99"/>
      <c r="N17" s="99"/>
      <c r="O17" s="99"/>
      <c r="P17" s="108"/>
      <c r="Q17" s="9"/>
    </row>
    <row r="18" spans="2:23" ht="20.100000000000001" customHeight="1">
      <c r="B18" s="107"/>
      <c r="C18" s="100"/>
      <c r="D18" s="100"/>
      <c r="E18" s="99"/>
      <c r="F18" s="99"/>
      <c r="G18" s="99"/>
      <c r="H18" s="99"/>
      <c r="I18" s="99"/>
      <c r="J18" s="99"/>
      <c r="K18" s="99"/>
      <c r="L18" s="99"/>
      <c r="M18" s="99"/>
      <c r="N18" s="99"/>
      <c r="O18" s="99"/>
      <c r="P18" s="108"/>
      <c r="Q18" s="9"/>
      <c r="W18" s="1" t="s">
        <v>4</v>
      </c>
    </row>
    <row r="19" spans="2:23" ht="20.100000000000001" customHeight="1">
      <c r="B19" s="107"/>
      <c r="C19" s="100"/>
      <c r="D19" s="100"/>
      <c r="E19" s="99"/>
      <c r="F19" s="99"/>
      <c r="G19" s="99"/>
      <c r="H19" s="99"/>
      <c r="I19" s="99"/>
      <c r="J19" s="99"/>
      <c r="K19" s="99"/>
      <c r="L19" s="99"/>
      <c r="M19" s="99"/>
      <c r="N19" s="99"/>
      <c r="O19" s="99"/>
      <c r="P19" s="108"/>
      <c r="Q19" s="9"/>
    </row>
    <row r="20" spans="2:23" ht="20.100000000000001" customHeight="1">
      <c r="B20" s="107"/>
      <c r="C20" s="100"/>
      <c r="D20" s="100"/>
      <c r="E20" s="99"/>
      <c r="F20" s="99"/>
      <c r="G20" s="99"/>
      <c r="H20" s="99"/>
      <c r="I20" s="99"/>
      <c r="J20" s="99"/>
      <c r="K20" s="99"/>
      <c r="L20" s="99"/>
      <c r="M20" s="99"/>
      <c r="N20" s="99"/>
      <c r="O20" s="99"/>
      <c r="P20" s="108"/>
      <c r="Q20" s="9"/>
    </row>
    <row r="21" spans="2:23" ht="20.100000000000001" customHeight="1">
      <c r="B21" s="107"/>
      <c r="C21" s="100"/>
      <c r="D21" s="100"/>
      <c r="E21" s="99"/>
      <c r="F21" s="99"/>
      <c r="G21" s="99"/>
      <c r="H21" s="99"/>
      <c r="I21" s="99"/>
      <c r="J21" s="99"/>
      <c r="K21" s="99"/>
      <c r="L21" s="99"/>
      <c r="M21" s="99"/>
      <c r="N21" s="99"/>
      <c r="O21" s="99"/>
      <c r="P21" s="108"/>
      <c r="Q21" s="9"/>
    </row>
    <row r="22" spans="2:23" ht="20.100000000000001" customHeight="1">
      <c r="B22" s="109"/>
      <c r="C22" s="102"/>
      <c r="D22" s="100"/>
      <c r="E22" s="99"/>
      <c r="F22" s="99"/>
      <c r="G22" s="99"/>
      <c r="H22" s="99"/>
      <c r="I22" s="99"/>
      <c r="J22" s="99"/>
      <c r="K22" s="99"/>
      <c r="L22" s="99"/>
      <c r="M22" s="99"/>
      <c r="N22" s="99"/>
      <c r="O22" s="99"/>
      <c r="P22" s="108"/>
      <c r="Q22" s="9"/>
    </row>
    <row r="23" spans="2:23" ht="20.100000000000001" customHeight="1">
      <c r="B23" s="107"/>
      <c r="C23" s="100"/>
      <c r="D23" s="100"/>
      <c r="E23" s="99"/>
      <c r="F23" s="99"/>
      <c r="G23" s="99"/>
      <c r="H23" s="99"/>
      <c r="I23" s="99"/>
      <c r="J23" s="99"/>
      <c r="K23" s="99"/>
      <c r="L23" s="99"/>
      <c r="M23" s="99"/>
      <c r="N23" s="99"/>
      <c r="O23" s="99"/>
      <c r="P23" s="108"/>
      <c r="Q23" s="9"/>
    </row>
    <row r="24" spans="2:23">
      <c r="B24" s="107"/>
      <c r="C24" s="100"/>
      <c r="D24" s="100"/>
      <c r="E24" s="99"/>
      <c r="F24" s="99"/>
      <c r="G24" s="99"/>
      <c r="H24" s="99"/>
      <c r="I24" s="99"/>
      <c r="J24" s="99"/>
      <c r="K24" s="99"/>
      <c r="L24" s="99"/>
      <c r="M24" s="99"/>
      <c r="N24" s="99"/>
      <c r="O24" s="99"/>
      <c r="P24" s="108"/>
      <c r="Q24" s="9"/>
    </row>
    <row r="25" spans="2:23">
      <c r="B25" s="110"/>
      <c r="C25" s="111"/>
      <c r="D25" s="111"/>
      <c r="E25" s="112"/>
      <c r="F25" s="112"/>
      <c r="G25" s="112"/>
      <c r="H25" s="112"/>
      <c r="I25" s="112"/>
      <c r="J25" s="112"/>
      <c r="K25" s="112"/>
      <c r="L25" s="112"/>
      <c r="M25" s="112"/>
      <c r="N25" s="112"/>
      <c r="O25" s="112"/>
      <c r="P25" s="113"/>
      <c r="Q25" s="9"/>
    </row>
    <row r="26" spans="2:23">
      <c r="B26" s="99"/>
      <c r="C26" s="100"/>
      <c r="D26" s="100"/>
      <c r="E26" s="99"/>
      <c r="F26" s="99"/>
      <c r="G26" s="99"/>
      <c r="H26" s="99"/>
      <c r="I26" s="99"/>
      <c r="J26" s="99"/>
      <c r="K26" s="99"/>
      <c r="L26" s="99"/>
      <c r="M26" s="99"/>
      <c r="N26" s="99"/>
      <c r="O26" s="99"/>
      <c r="P26" s="99"/>
      <c r="Q26" s="9"/>
    </row>
    <row r="27" spans="2:23">
      <c r="B27" s="9"/>
      <c r="C27" s="8"/>
      <c r="D27" s="8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</row>
    <row r="28" spans="2:23">
      <c r="B28" s="9"/>
      <c r="C28" s="8"/>
      <c r="D28" s="8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</row>
    <row r="29" spans="2:23">
      <c r="B29" s="9"/>
      <c r="C29" s="8"/>
      <c r="D29" s="8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</row>
    <row r="30" spans="2:23">
      <c r="B30" s="9"/>
      <c r="C30" s="8"/>
      <c r="D30" s="8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</row>
    <row r="31" spans="2:23">
      <c r="B31" s="9"/>
      <c r="C31" s="8"/>
      <c r="D31" s="8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</row>
    <row r="32" spans="2:23">
      <c r="B32" s="9"/>
      <c r="C32" s="8"/>
      <c r="D32" s="8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</row>
    <row r="33" spans="2:17">
      <c r="B33" s="9"/>
      <c r="C33" s="8"/>
      <c r="D33" s="8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</row>
    <row r="34" spans="2:17">
      <c r="B34" s="9"/>
      <c r="C34" s="8"/>
      <c r="D34" s="8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</row>
    <row r="35" spans="2:17">
      <c r="B35" s="9"/>
      <c r="C35" s="8"/>
      <c r="D35" s="8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</row>
    <row r="36" spans="2:17">
      <c r="B36" s="9"/>
      <c r="C36" s="8"/>
      <c r="D36" s="8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</row>
  </sheetData>
  <mergeCells count="1">
    <mergeCell ref="B1:P1"/>
  </mergeCells>
  <phoneticPr fontId="7" type="noConversion"/>
  <printOptions horizontalCentered="1"/>
  <pageMargins left="0.7" right="0.7" top="0.75" bottom="0.75" header="0.3" footer="0.3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5666A-FEA4-4C81-AF3E-682598246056}">
  <dimension ref="A1:V100"/>
  <sheetViews>
    <sheetView zoomScale="115" zoomScaleNormal="115" workbookViewId="0">
      <selection activeCell="D7" sqref="D7"/>
    </sheetView>
  </sheetViews>
  <sheetFormatPr defaultColWidth="9" defaultRowHeight="11.25"/>
  <cols>
    <col min="1" max="1" width="3.7109375" style="45" customWidth="1"/>
    <col min="2" max="2" width="7.7109375" style="61" customWidth="1"/>
    <col min="3" max="3" width="6.7109375" style="61" customWidth="1"/>
    <col min="4" max="5" width="7.7109375" style="45" customWidth="1"/>
    <col min="6" max="7" width="5.7109375" style="45" customWidth="1"/>
    <col min="8" max="8" width="9.7109375" style="45" customWidth="1"/>
    <col min="9" max="13" width="5.7109375" style="45" customWidth="1"/>
    <col min="14" max="16384" width="9" style="45"/>
  </cols>
  <sheetData>
    <row r="1" spans="1:22" ht="42" customHeight="1">
      <c r="A1" s="82" t="s">
        <v>2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42"/>
      <c r="O1" s="43"/>
      <c r="P1" s="43"/>
      <c r="Q1" s="43"/>
      <c r="R1" s="43"/>
      <c r="S1" s="43"/>
      <c r="T1" s="43"/>
      <c r="U1" s="43"/>
      <c r="V1" s="44"/>
    </row>
    <row r="2" spans="1:22" ht="26.45" customHeight="1">
      <c r="A2" s="65" t="s">
        <v>3</v>
      </c>
      <c r="B2" s="66"/>
      <c r="C2" s="66"/>
      <c r="I2" s="67" t="s">
        <v>41</v>
      </c>
      <c r="J2" s="62"/>
      <c r="K2" s="64"/>
      <c r="L2" s="64"/>
      <c r="M2" s="47"/>
      <c r="N2" s="48"/>
      <c r="V2" s="49"/>
    </row>
    <row r="3" spans="1:22" ht="26.45" customHeight="1">
      <c r="A3" s="19" t="s">
        <v>40</v>
      </c>
      <c r="B3" s="66"/>
      <c r="C3" s="66"/>
      <c r="K3" s="46" t="s">
        <v>42</v>
      </c>
      <c r="L3" s="98"/>
      <c r="M3" s="57"/>
      <c r="N3" s="48"/>
      <c r="V3" s="49"/>
    </row>
    <row r="4" spans="1:22" ht="26.45" customHeight="1">
      <c r="B4" s="45"/>
      <c r="C4" s="50"/>
      <c r="D4" s="50"/>
      <c r="L4" s="46" t="s">
        <v>43</v>
      </c>
      <c r="M4" s="46"/>
      <c r="N4" s="48"/>
      <c r="V4" s="49"/>
    </row>
    <row r="5" spans="1:22" ht="26.45" customHeight="1">
      <c r="A5" s="63"/>
      <c r="B5" s="66"/>
      <c r="C5" s="66"/>
      <c r="N5" s="48"/>
      <c r="V5" s="49"/>
    </row>
    <row r="6" spans="1:22" ht="30" customHeight="1">
      <c r="A6" s="51" t="s">
        <v>18</v>
      </c>
      <c r="B6" s="68" t="s">
        <v>19</v>
      </c>
      <c r="C6" s="68" t="s">
        <v>20</v>
      </c>
      <c r="D6" s="52" t="s">
        <v>37</v>
      </c>
      <c r="E6" s="52" t="s">
        <v>38</v>
      </c>
      <c r="F6" s="51" t="s">
        <v>21</v>
      </c>
      <c r="G6" s="51" t="s">
        <v>22</v>
      </c>
      <c r="H6" s="51" t="s">
        <v>23</v>
      </c>
      <c r="I6" s="51" t="s">
        <v>24</v>
      </c>
      <c r="J6" s="51" t="s">
        <v>25</v>
      </c>
      <c r="K6" s="51" t="s">
        <v>26</v>
      </c>
      <c r="L6" s="51" t="s">
        <v>27</v>
      </c>
      <c r="M6" s="51" t="s">
        <v>28</v>
      </c>
      <c r="N6" s="53"/>
      <c r="V6" s="49"/>
    </row>
    <row r="7" spans="1:22" ht="20.100000000000001" customHeight="1">
      <c r="A7" s="46" t="s">
        <v>0</v>
      </c>
      <c r="B7" s="69"/>
      <c r="C7" s="54"/>
      <c r="D7" s="54"/>
      <c r="E7" s="54"/>
      <c r="F7" s="54">
        <f>C7+D7</f>
        <v>0</v>
      </c>
      <c r="G7" s="54">
        <f>C7-E7</f>
        <v>0</v>
      </c>
      <c r="H7" s="46"/>
      <c r="I7" s="54">
        <f>Measurement!C4</f>
        <v>36.125</v>
      </c>
      <c r="J7" s="54">
        <f>Measurement!C5</f>
        <v>36.125</v>
      </c>
      <c r="K7" s="54">
        <f>Measurement!C6</f>
        <v>36.125</v>
      </c>
      <c r="L7" s="54">
        <f>Measurement!C7</f>
        <v>0</v>
      </c>
      <c r="M7" s="54">
        <f>Measurement!C8</f>
        <v>0</v>
      </c>
      <c r="N7" s="48"/>
      <c r="V7" s="49"/>
    </row>
    <row r="8" spans="1:22" ht="20.100000000000001" customHeight="1">
      <c r="A8" s="46" t="s">
        <v>1</v>
      </c>
      <c r="B8" s="69"/>
      <c r="C8" s="54"/>
      <c r="D8" s="54"/>
      <c r="E8" s="54"/>
      <c r="F8" s="54">
        <f t="shared" ref="F8:F20" si="0">C8+D8</f>
        <v>0</v>
      </c>
      <c r="G8" s="54">
        <f t="shared" ref="G8:G20" si="1">C8-E8</f>
        <v>0</v>
      </c>
      <c r="H8" s="46"/>
      <c r="I8" s="54">
        <f>Measurement!D4</f>
        <v>36.125</v>
      </c>
      <c r="J8" s="54">
        <f>Measurement!D5</f>
        <v>36.125</v>
      </c>
      <c r="K8" s="54">
        <f>Measurement!D6</f>
        <v>36.125</v>
      </c>
      <c r="L8" s="54">
        <f>Measurement!D7</f>
        <v>0</v>
      </c>
      <c r="M8" s="54">
        <f>Measurement!D8</f>
        <v>0</v>
      </c>
      <c r="N8" s="48"/>
      <c r="V8" s="49"/>
    </row>
    <row r="9" spans="1:22" ht="20.100000000000001" customHeight="1">
      <c r="A9" s="46" t="s">
        <v>6</v>
      </c>
      <c r="B9" s="69"/>
      <c r="C9" s="54"/>
      <c r="D9" s="54"/>
      <c r="E9" s="54"/>
      <c r="F9" s="54">
        <f t="shared" si="0"/>
        <v>0</v>
      </c>
      <c r="G9" s="54">
        <f t="shared" si="1"/>
        <v>0</v>
      </c>
      <c r="H9" s="46"/>
      <c r="I9" s="54">
        <f>Measurement!E4</f>
        <v>1.3875</v>
      </c>
      <c r="J9" s="54">
        <f>Measurement!E5</f>
        <v>1.401</v>
      </c>
      <c r="K9" s="54">
        <f>Measurement!E6</f>
        <v>1.4490000000000001</v>
      </c>
      <c r="L9" s="54">
        <f>Measurement!E7</f>
        <v>0</v>
      </c>
      <c r="M9" s="54">
        <f>Measurement!E8</f>
        <v>0</v>
      </c>
      <c r="N9" s="48"/>
      <c r="V9" s="49"/>
    </row>
    <row r="10" spans="1:22" ht="20.100000000000001" customHeight="1">
      <c r="A10" s="46" t="s">
        <v>8</v>
      </c>
      <c r="B10" s="69"/>
      <c r="C10" s="54"/>
      <c r="D10" s="54"/>
      <c r="E10" s="54"/>
      <c r="F10" s="54">
        <f t="shared" si="0"/>
        <v>0</v>
      </c>
      <c r="G10" s="54">
        <f t="shared" si="1"/>
        <v>0</v>
      </c>
      <c r="H10" s="46"/>
      <c r="I10" s="54">
        <f>Measurement!F4</f>
        <v>1.5015000000000001</v>
      </c>
      <c r="J10" s="54">
        <f>Measurement!F5</f>
        <v>1.5044999999999999</v>
      </c>
      <c r="K10" s="54">
        <f>Measurement!F6</f>
        <v>1.5055000000000001</v>
      </c>
      <c r="L10" s="54">
        <f>Measurement!F7</f>
        <v>0</v>
      </c>
      <c r="M10" s="54">
        <f>Measurement!F8</f>
        <v>0</v>
      </c>
      <c r="N10" s="48"/>
      <c r="V10" s="49"/>
    </row>
    <row r="11" spans="1:22" ht="20.100000000000001" customHeight="1">
      <c r="A11" s="46" t="s">
        <v>9</v>
      </c>
      <c r="B11" s="69"/>
      <c r="C11" s="54"/>
      <c r="D11" s="54"/>
      <c r="E11" s="54"/>
      <c r="F11" s="54">
        <f t="shared" si="0"/>
        <v>0</v>
      </c>
      <c r="G11" s="54">
        <f t="shared" si="1"/>
        <v>0</v>
      </c>
      <c r="H11" s="46"/>
      <c r="I11" s="54">
        <f>Measurement!G4</f>
        <v>1.5075000000000001</v>
      </c>
      <c r="J11" s="54">
        <f>Measurement!G5</f>
        <v>1.5085</v>
      </c>
      <c r="K11" s="54">
        <f>Measurement!G6</f>
        <v>1.5149999999999999</v>
      </c>
      <c r="L11" s="54">
        <f>Measurement!G7</f>
        <v>0</v>
      </c>
      <c r="M11" s="54">
        <f>Measurement!G8</f>
        <v>0</v>
      </c>
      <c r="N11" s="48"/>
      <c r="V11" s="49"/>
    </row>
    <row r="12" spans="1:22" ht="20.100000000000001" customHeight="1">
      <c r="A12" s="46" t="s">
        <v>10</v>
      </c>
      <c r="B12" s="69"/>
      <c r="C12" s="54"/>
      <c r="D12" s="54"/>
      <c r="E12" s="54"/>
      <c r="F12" s="54">
        <f t="shared" si="0"/>
        <v>0</v>
      </c>
      <c r="G12" s="54">
        <f t="shared" si="1"/>
        <v>0</v>
      </c>
      <c r="H12" s="46"/>
      <c r="I12" s="54">
        <f>Measurement!H4</f>
        <v>0.26300000000000001</v>
      </c>
      <c r="J12" s="54">
        <f>Measurement!H5</f>
        <v>0.27200000000000002</v>
      </c>
      <c r="K12" s="54">
        <f>Measurement!H6</f>
        <v>0.27450000000000002</v>
      </c>
      <c r="L12" s="54">
        <f>Measurement!H7</f>
        <v>0</v>
      </c>
      <c r="M12" s="54">
        <f>Measurement!H8</f>
        <v>0</v>
      </c>
      <c r="N12" s="48"/>
      <c r="V12" s="49"/>
    </row>
    <row r="13" spans="1:22" ht="20.100000000000001" customHeight="1">
      <c r="A13" s="46" t="s">
        <v>11</v>
      </c>
      <c r="B13" s="69"/>
      <c r="C13" s="54"/>
      <c r="D13" s="54"/>
      <c r="E13" s="54"/>
      <c r="F13" s="54">
        <f t="shared" si="0"/>
        <v>0</v>
      </c>
      <c r="G13" s="54">
        <f t="shared" si="1"/>
        <v>0</v>
      </c>
      <c r="H13" s="46"/>
      <c r="I13" s="54">
        <f>Measurement!I4</f>
        <v>0</v>
      </c>
      <c r="J13" s="54">
        <f>Measurement!I5</f>
        <v>0</v>
      </c>
      <c r="K13" s="54">
        <f>Measurement!I6</f>
        <v>0</v>
      </c>
      <c r="L13" s="54">
        <f>Measurement!I7</f>
        <v>0</v>
      </c>
      <c r="M13" s="54">
        <f>Measurement!I8</f>
        <v>0</v>
      </c>
      <c r="N13" s="48"/>
      <c r="V13" s="49"/>
    </row>
    <row r="14" spans="1:22" ht="20.100000000000001" customHeight="1">
      <c r="A14" s="46" t="s">
        <v>12</v>
      </c>
      <c r="B14" s="69"/>
      <c r="C14" s="54"/>
      <c r="D14" s="54"/>
      <c r="E14" s="54"/>
      <c r="F14" s="54">
        <f t="shared" si="0"/>
        <v>0</v>
      </c>
      <c r="G14" s="54">
        <f t="shared" si="1"/>
        <v>0</v>
      </c>
      <c r="H14" s="46"/>
      <c r="I14" s="54">
        <f>Measurement!J4</f>
        <v>0</v>
      </c>
      <c r="J14" s="54">
        <f>Measurement!J5</f>
        <v>0</v>
      </c>
      <c r="K14" s="54">
        <f>Measurement!J6</f>
        <v>0</v>
      </c>
      <c r="L14" s="54">
        <f>Measurement!J7</f>
        <v>0</v>
      </c>
      <c r="M14" s="54">
        <f>Measurement!J8</f>
        <v>0</v>
      </c>
      <c r="N14" s="48" t="s">
        <v>5</v>
      </c>
      <c r="V14" s="49"/>
    </row>
    <row r="15" spans="1:22" ht="20.100000000000001" customHeight="1">
      <c r="A15" s="46" t="s">
        <v>13</v>
      </c>
      <c r="B15" s="69"/>
      <c r="C15" s="54"/>
      <c r="D15" s="54"/>
      <c r="E15" s="54"/>
      <c r="F15" s="54">
        <f t="shared" si="0"/>
        <v>0</v>
      </c>
      <c r="G15" s="54">
        <f t="shared" si="1"/>
        <v>0</v>
      </c>
      <c r="H15" s="46"/>
      <c r="I15" s="54">
        <f>Measurement!K4</f>
        <v>0</v>
      </c>
      <c r="J15" s="54">
        <f>Measurement!K5</f>
        <v>0</v>
      </c>
      <c r="K15" s="54">
        <f>Measurement!K6</f>
        <v>0</v>
      </c>
      <c r="L15" s="54">
        <f>Measurement!K7</f>
        <v>0</v>
      </c>
      <c r="M15" s="54">
        <f>Measurement!K8</f>
        <v>0</v>
      </c>
      <c r="N15" s="48"/>
      <c r="V15" s="49"/>
    </row>
    <row r="16" spans="1:22" ht="20.100000000000001" customHeight="1">
      <c r="A16" s="46" t="s">
        <v>14</v>
      </c>
      <c r="B16" s="69"/>
      <c r="C16" s="54"/>
      <c r="D16" s="54"/>
      <c r="E16" s="54"/>
      <c r="F16" s="54">
        <f t="shared" si="0"/>
        <v>0</v>
      </c>
      <c r="G16" s="54">
        <f t="shared" si="1"/>
        <v>0</v>
      </c>
      <c r="H16" s="46"/>
      <c r="I16" s="54">
        <f>Measurement!L4</f>
        <v>0</v>
      </c>
      <c r="J16" s="54">
        <f>Measurement!L5</f>
        <v>0</v>
      </c>
      <c r="K16" s="54">
        <f>Measurement!L6</f>
        <v>0</v>
      </c>
      <c r="L16" s="54">
        <f>Measurement!L7</f>
        <v>0</v>
      </c>
      <c r="M16" s="54">
        <f>Measurement!L8</f>
        <v>0</v>
      </c>
      <c r="N16" s="48"/>
      <c r="V16" s="49"/>
    </row>
    <row r="17" spans="1:22" ht="20.100000000000001" customHeight="1">
      <c r="A17" s="46" t="s">
        <v>15</v>
      </c>
      <c r="B17" s="69"/>
      <c r="C17" s="54"/>
      <c r="D17" s="54"/>
      <c r="E17" s="54"/>
      <c r="F17" s="54">
        <f t="shared" si="0"/>
        <v>0</v>
      </c>
      <c r="G17" s="54">
        <f t="shared" si="1"/>
        <v>0</v>
      </c>
      <c r="H17" s="46"/>
      <c r="I17" s="54">
        <f>Measurement!M4</f>
        <v>0</v>
      </c>
      <c r="J17" s="54">
        <f>Measurement!M5</f>
        <v>0</v>
      </c>
      <c r="K17" s="54">
        <f>Measurement!M6</f>
        <v>0</v>
      </c>
      <c r="L17" s="54">
        <f>Measurement!M7</f>
        <v>0</v>
      </c>
      <c r="M17" s="54">
        <f>Measurement!M8</f>
        <v>0</v>
      </c>
      <c r="N17" s="48"/>
      <c r="V17" s="49"/>
    </row>
    <row r="18" spans="1:22" ht="20.100000000000001" customHeight="1">
      <c r="A18" s="46" t="s">
        <v>16</v>
      </c>
      <c r="B18" s="69"/>
      <c r="C18" s="54"/>
      <c r="D18" s="54"/>
      <c r="E18" s="54"/>
      <c r="F18" s="54">
        <f t="shared" si="0"/>
        <v>0</v>
      </c>
      <c r="G18" s="54">
        <f t="shared" si="1"/>
        <v>0</v>
      </c>
      <c r="H18" s="46"/>
      <c r="I18" s="54">
        <f>Measurement!N4</f>
        <v>0</v>
      </c>
      <c r="J18" s="54">
        <f>Measurement!N5</f>
        <v>0</v>
      </c>
      <c r="K18" s="54">
        <f>Measurement!N6</f>
        <v>0</v>
      </c>
      <c r="L18" s="54">
        <f>Measurement!N7</f>
        <v>0</v>
      </c>
      <c r="M18" s="54">
        <f>Measurement!N8</f>
        <v>0</v>
      </c>
      <c r="N18" s="48"/>
      <c r="V18" s="49"/>
    </row>
    <row r="19" spans="1:22" ht="20.100000000000001" customHeight="1">
      <c r="A19" s="46" t="s">
        <v>17</v>
      </c>
      <c r="B19" s="69"/>
      <c r="C19" s="54"/>
      <c r="D19" s="54"/>
      <c r="E19" s="54"/>
      <c r="F19" s="54">
        <f t="shared" si="0"/>
        <v>0</v>
      </c>
      <c r="G19" s="54">
        <f t="shared" si="1"/>
        <v>0</v>
      </c>
      <c r="H19" s="46"/>
      <c r="I19" s="54">
        <f>Measurement!O4</f>
        <v>0</v>
      </c>
      <c r="J19" s="54">
        <f>Measurement!O5</f>
        <v>0</v>
      </c>
      <c r="K19" s="54">
        <f>Measurement!O6</f>
        <v>0</v>
      </c>
      <c r="L19" s="54">
        <f>Measurement!O7</f>
        <v>0</v>
      </c>
      <c r="M19" s="54">
        <f>Measurement!O8</f>
        <v>0</v>
      </c>
      <c r="N19" s="48"/>
      <c r="V19" s="49"/>
    </row>
    <row r="20" spans="1:22" ht="20.100000000000001" customHeight="1">
      <c r="A20" s="46" t="s">
        <v>47</v>
      </c>
      <c r="B20" s="69"/>
      <c r="C20" s="54"/>
      <c r="D20" s="54"/>
      <c r="E20" s="54"/>
      <c r="F20" s="54">
        <f t="shared" si="0"/>
        <v>0</v>
      </c>
      <c r="G20" s="54">
        <f t="shared" si="1"/>
        <v>0</v>
      </c>
      <c r="H20" s="46"/>
      <c r="I20" s="54">
        <f>Measurement!P4</f>
        <v>0</v>
      </c>
      <c r="J20" s="54">
        <f>Measurement!P5</f>
        <v>0</v>
      </c>
      <c r="K20" s="54">
        <f>Measurement!P6</f>
        <v>0</v>
      </c>
      <c r="L20" s="54">
        <f>Measurement!P7</f>
        <v>0</v>
      </c>
      <c r="M20" s="54">
        <f>Measurement!P8</f>
        <v>0</v>
      </c>
      <c r="N20" s="48"/>
      <c r="V20" s="49"/>
    </row>
    <row r="21" spans="1:22" ht="20.100000000000001" customHeight="1">
      <c r="A21" s="58"/>
      <c r="B21" s="50"/>
      <c r="C21" s="50"/>
      <c r="D21" s="58"/>
      <c r="E21" s="58"/>
      <c r="F21" s="58"/>
      <c r="G21" s="58"/>
      <c r="H21" s="58"/>
      <c r="I21" s="58"/>
      <c r="J21" s="58"/>
      <c r="K21" s="58"/>
      <c r="L21" s="58"/>
      <c r="M21" s="58"/>
      <c r="N21" s="48"/>
      <c r="V21" s="49"/>
    </row>
    <row r="22" spans="1:22" ht="20.100000000000001" customHeight="1">
      <c r="A22" s="58"/>
      <c r="B22" s="50"/>
      <c r="C22" s="50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48"/>
      <c r="V22" s="49"/>
    </row>
    <row r="23" spans="1:22" ht="20.100000000000001" customHeight="1">
      <c r="A23" s="59"/>
      <c r="B23" s="60"/>
      <c r="C23" s="50"/>
      <c r="D23" s="58"/>
      <c r="E23" s="58"/>
      <c r="F23" s="58"/>
      <c r="G23" s="58"/>
      <c r="H23" s="58"/>
      <c r="I23" s="58"/>
      <c r="J23" s="58"/>
      <c r="K23" s="58"/>
      <c r="L23" s="58"/>
      <c r="M23" s="58"/>
      <c r="N23" s="48"/>
      <c r="V23" s="49"/>
    </row>
    <row r="24" spans="1:22" ht="20.100000000000001" customHeight="1">
      <c r="A24" s="58"/>
      <c r="B24" s="50"/>
      <c r="C24" s="50"/>
      <c r="D24" s="58"/>
      <c r="E24" s="58"/>
      <c r="F24" s="58"/>
      <c r="G24" s="58"/>
      <c r="H24" s="58"/>
      <c r="I24" s="58"/>
      <c r="J24" s="58"/>
      <c r="K24" s="58"/>
      <c r="L24" s="58"/>
      <c r="M24" s="58"/>
      <c r="N24" s="48"/>
      <c r="V24" s="49"/>
    </row>
    <row r="25" spans="1:22" ht="20.100000000000001" customHeight="1">
      <c r="A25" s="58"/>
      <c r="B25" s="50"/>
      <c r="C25" s="50"/>
      <c r="D25" s="58"/>
      <c r="E25" s="58"/>
      <c r="F25" s="58"/>
      <c r="G25" s="58"/>
      <c r="H25" s="58"/>
      <c r="I25" s="58"/>
      <c r="J25" s="58"/>
      <c r="K25" s="58"/>
      <c r="L25" s="58"/>
      <c r="M25" s="58"/>
      <c r="N25" s="48"/>
      <c r="V25" s="49"/>
    </row>
    <row r="26" spans="1:22" ht="20.100000000000001" customHeight="1">
      <c r="A26" s="58"/>
      <c r="B26" s="50"/>
      <c r="C26" s="50"/>
      <c r="D26" s="58"/>
      <c r="E26" s="58"/>
      <c r="F26" s="58"/>
      <c r="G26" s="58"/>
      <c r="H26" s="58"/>
      <c r="I26" s="58"/>
      <c r="J26" s="58"/>
      <c r="K26" s="58"/>
      <c r="L26" s="58"/>
      <c r="M26" s="58"/>
      <c r="N26" s="48"/>
      <c r="V26" s="49"/>
    </row>
    <row r="27" spans="1:22" ht="20.100000000000001" customHeight="1">
      <c r="A27" s="58"/>
      <c r="B27" s="50"/>
      <c r="C27" s="50"/>
      <c r="D27" s="58"/>
      <c r="E27" s="58"/>
      <c r="F27" s="58"/>
      <c r="G27" s="58"/>
      <c r="H27" s="58"/>
      <c r="I27" s="58"/>
      <c r="J27" s="58"/>
      <c r="K27" s="58"/>
      <c r="L27" s="58"/>
      <c r="M27" s="58"/>
      <c r="N27" s="48"/>
      <c r="V27" s="49"/>
    </row>
    <row r="28" spans="1:22" ht="20.100000000000001" customHeight="1">
      <c r="A28" s="58"/>
      <c r="B28" s="50"/>
      <c r="C28" s="50"/>
      <c r="D28" s="58"/>
      <c r="E28" s="58"/>
      <c r="F28" s="58"/>
      <c r="G28" s="58"/>
      <c r="H28" s="58"/>
      <c r="I28" s="58"/>
      <c r="J28" s="58"/>
      <c r="K28" s="58"/>
      <c r="L28" s="58"/>
      <c r="M28" s="58"/>
      <c r="N28" s="48"/>
      <c r="V28" s="49"/>
    </row>
    <row r="29" spans="1:22" ht="20.100000000000001" customHeight="1">
      <c r="A29" s="58"/>
      <c r="B29" s="50"/>
      <c r="C29" s="50"/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48"/>
      <c r="V29" s="49"/>
    </row>
    <row r="30" spans="1:22" ht="20.100000000000001" customHeight="1">
      <c r="A30" s="58"/>
      <c r="B30" s="50"/>
      <c r="C30" s="50"/>
      <c r="D30" s="58"/>
      <c r="E30" s="58"/>
      <c r="F30" s="58"/>
      <c r="G30" s="58"/>
      <c r="H30" s="58"/>
      <c r="I30" s="58"/>
      <c r="J30" s="58"/>
      <c r="K30" s="58"/>
      <c r="L30" s="58"/>
      <c r="M30" s="58"/>
      <c r="N30" s="48"/>
      <c r="V30" s="49"/>
    </row>
    <row r="31" spans="1:22" ht="20.100000000000001" customHeight="1">
      <c r="A31" s="58"/>
      <c r="B31" s="50"/>
      <c r="C31" s="50"/>
      <c r="D31" s="58"/>
      <c r="E31" s="58"/>
      <c r="F31" s="58"/>
      <c r="G31" s="58"/>
      <c r="H31" s="58"/>
      <c r="I31" s="58"/>
      <c r="J31" s="58"/>
      <c r="K31" s="58"/>
      <c r="L31" s="58"/>
      <c r="M31" s="58"/>
      <c r="N31" s="48"/>
      <c r="V31" s="49"/>
    </row>
    <row r="32" spans="1:22" ht="20.100000000000001" customHeight="1">
      <c r="A32" s="58"/>
      <c r="B32" s="50"/>
      <c r="C32" s="50"/>
      <c r="D32" s="58"/>
      <c r="E32" s="58"/>
      <c r="F32" s="58"/>
      <c r="G32" s="58"/>
      <c r="H32" s="58"/>
      <c r="I32" s="58"/>
      <c r="J32" s="58"/>
      <c r="K32" s="58"/>
      <c r="L32" s="58"/>
      <c r="M32" s="58"/>
      <c r="N32" s="48"/>
      <c r="V32" s="49"/>
    </row>
    <row r="33" spans="1:22" ht="20.100000000000001" customHeight="1">
      <c r="A33" s="58"/>
      <c r="B33" s="50"/>
      <c r="C33" s="50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48"/>
      <c r="V33" s="49"/>
    </row>
    <row r="34" spans="1:22" ht="20.100000000000001" customHeight="1">
      <c r="A34" s="58"/>
      <c r="B34" s="50"/>
      <c r="C34" s="50"/>
      <c r="D34" s="58"/>
      <c r="E34" s="58"/>
      <c r="F34" s="58"/>
      <c r="G34" s="58"/>
      <c r="H34" s="58"/>
      <c r="I34" s="58"/>
      <c r="J34" s="58"/>
      <c r="K34" s="58"/>
      <c r="L34" s="58"/>
      <c r="M34" s="58"/>
      <c r="N34" s="48"/>
      <c r="V34" s="49"/>
    </row>
    <row r="35" spans="1:22" ht="20.100000000000001" customHeight="1">
      <c r="A35" s="58"/>
      <c r="B35" s="50"/>
      <c r="C35" s="50"/>
      <c r="D35" s="58"/>
      <c r="E35" s="58"/>
      <c r="F35" s="58"/>
      <c r="G35" s="58"/>
      <c r="H35" s="58"/>
      <c r="I35" s="58"/>
      <c r="J35" s="58"/>
      <c r="K35" s="58"/>
      <c r="L35" s="58"/>
      <c r="M35" s="58"/>
      <c r="N35" s="48"/>
      <c r="V35" s="49"/>
    </row>
    <row r="36" spans="1:22" ht="20.100000000000001" customHeight="1">
      <c r="A36" s="58"/>
      <c r="B36" s="50"/>
      <c r="C36" s="50"/>
      <c r="D36" s="58"/>
      <c r="E36" s="58"/>
      <c r="F36" s="58"/>
      <c r="G36" s="58"/>
      <c r="H36" s="58"/>
      <c r="I36" s="58"/>
      <c r="J36" s="58"/>
      <c r="K36" s="58"/>
      <c r="L36" s="58"/>
      <c r="M36" s="58"/>
      <c r="N36" s="48"/>
      <c r="V36" s="49"/>
    </row>
    <row r="37" spans="1:22" ht="20.100000000000001" customHeight="1">
      <c r="A37" s="58"/>
      <c r="B37" s="50"/>
      <c r="C37" s="50"/>
      <c r="D37" s="58"/>
      <c r="E37" s="58"/>
      <c r="F37" s="58"/>
      <c r="G37" s="58"/>
      <c r="H37" s="58"/>
      <c r="I37" s="58"/>
      <c r="J37" s="58"/>
      <c r="K37" s="58"/>
      <c r="L37" s="58"/>
      <c r="M37" s="58"/>
      <c r="N37" s="48"/>
      <c r="V37" s="49"/>
    </row>
    <row r="38" spans="1:22" ht="20.100000000000001" customHeight="1">
      <c r="N38" s="48"/>
      <c r="V38" s="49"/>
    </row>
    <row r="39" spans="1:22" ht="20.100000000000001" customHeight="1">
      <c r="N39" s="48"/>
      <c r="V39" s="49"/>
    </row>
    <row r="40" spans="1:22" ht="20.100000000000001" customHeight="1">
      <c r="N40" s="48"/>
      <c r="V40" s="49"/>
    </row>
    <row r="41" spans="1:22" ht="20.100000000000001" customHeight="1">
      <c r="N41" s="48"/>
      <c r="V41" s="49"/>
    </row>
    <row r="42" spans="1:22" ht="20.100000000000001" customHeight="1">
      <c r="N42" s="48"/>
      <c r="V42" s="49"/>
    </row>
    <row r="43" spans="1:22" ht="20.100000000000001" customHeight="1">
      <c r="N43" s="48"/>
      <c r="V43" s="49"/>
    </row>
    <row r="44" spans="1:22" ht="20.100000000000001" customHeight="1">
      <c r="N44" s="55"/>
      <c r="O44" s="56"/>
      <c r="P44" s="56"/>
      <c r="Q44" s="56"/>
      <c r="R44" s="56"/>
      <c r="S44" s="56"/>
      <c r="T44" s="56"/>
      <c r="U44" s="56"/>
      <c r="V44" s="57"/>
    </row>
    <row r="45" spans="1:22" ht="20.100000000000001" customHeight="1"/>
    <row r="46" spans="1:22" ht="20.100000000000001" customHeight="1"/>
    <row r="47" spans="1:22" ht="20.100000000000001" customHeight="1"/>
    <row r="48" spans="1:22" ht="20.100000000000001" customHeight="1"/>
    <row r="49" ht="20.100000000000001" customHeight="1"/>
    <row r="50" ht="20.100000000000001" customHeight="1"/>
    <row r="51" ht="20.100000000000001" customHeight="1"/>
    <row r="52" ht="20.100000000000001" customHeight="1"/>
    <row r="53" ht="20.100000000000001" customHeight="1"/>
    <row r="54" ht="20.100000000000001" customHeight="1"/>
    <row r="55" ht="20.100000000000001" customHeight="1"/>
    <row r="56" ht="20.100000000000001" customHeight="1"/>
    <row r="57" ht="20.100000000000001" customHeight="1"/>
    <row r="58" ht="20.100000000000001" customHeight="1"/>
    <row r="59" ht="20.100000000000001" customHeight="1"/>
    <row r="60" ht="20.100000000000001" customHeight="1"/>
    <row r="61" ht="20.100000000000001" customHeight="1"/>
    <row r="62" ht="20.100000000000001" customHeight="1"/>
    <row r="63" ht="20.100000000000001" customHeight="1"/>
    <row r="64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</sheetData>
  <mergeCells count="1">
    <mergeCell ref="A1:M1"/>
  </mergeCells>
  <conditionalFormatting sqref="I7:M20">
    <cfRule type="expression" dxfId="1" priority="1">
      <formula>OR(N(I7)&gt;N($F7), N(I7)&lt;N($G7))</formula>
    </cfRule>
  </conditionalFormatting>
  <printOptions horizontalCentered="1"/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E88A1F28-4964-4C07-8CD4-6F4182D131A1}">
          <x14:formula1>
            <xm:f>Source!$D$2:$D$100</xm:f>
          </x14:formula1>
          <xm:sqref>M4</xm:sqref>
        </x14:dataValidation>
        <x14:dataValidation type="list" allowBlank="1" showInputMessage="1" showErrorMessage="1" xr:uid="{0AF9D2A0-AB18-427B-914E-3E7055FCA6A5}">
          <x14:formula1>
            <xm:f>Source!$C$2:$C$100</xm:f>
          </x14:formula1>
          <xm:sqref>H7:H20</xm:sqref>
        </x14:dataValidation>
        <x14:dataValidation type="list" allowBlank="1" showInputMessage="1" showErrorMessage="1" xr:uid="{A9276B3C-983C-4B4B-9D4A-499038F1DF36}">
          <x14:formula1>
            <xm:f>Source!$B$2:$B$100</xm:f>
          </x14:formula1>
          <xm:sqref>B7:B20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1ADCD-444B-4C0C-9636-3C19BFD803B0}">
  <dimension ref="A1:AA39"/>
  <sheetViews>
    <sheetView zoomScaleNormal="100" workbookViewId="0">
      <selection activeCell="I23" sqref="I23"/>
    </sheetView>
  </sheetViews>
  <sheetFormatPr defaultColWidth="9" defaultRowHeight="12"/>
  <cols>
    <col min="1" max="1" width="4.85546875" style="1" customWidth="1"/>
    <col min="2" max="2" width="11.7109375" style="10" customWidth="1"/>
    <col min="3" max="3" width="9.7109375" style="10" customWidth="1"/>
    <col min="4" max="5" width="11.7109375" style="1" customWidth="1"/>
    <col min="6" max="7" width="9.7109375" style="1" customWidth="1"/>
    <col min="8" max="8" width="11.7109375" style="1" customWidth="1"/>
    <col min="9" max="13" width="9.7109375" style="1" customWidth="1"/>
    <col min="14" max="16384" width="9" style="1"/>
  </cols>
  <sheetData>
    <row r="1" spans="1:27" ht="42" customHeight="1">
      <c r="A1" s="82" t="s">
        <v>2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6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3"/>
    </row>
    <row r="2" spans="1:27" ht="26.45" customHeight="1">
      <c r="A2" s="20" t="s">
        <v>3</v>
      </c>
      <c r="B2" s="2"/>
      <c r="C2" s="2"/>
      <c r="D2" s="3"/>
      <c r="E2" s="3"/>
      <c r="F2" s="3"/>
      <c r="G2" s="3"/>
      <c r="H2" s="3"/>
      <c r="I2" s="16" t="s">
        <v>43</v>
      </c>
      <c r="J2" s="15"/>
      <c r="K2" s="13" t="s">
        <v>41</v>
      </c>
      <c r="L2" s="16"/>
      <c r="M2" s="17"/>
      <c r="N2" s="34"/>
      <c r="AA2" s="35"/>
    </row>
    <row r="3" spans="1:27" ht="26.45" customHeight="1">
      <c r="A3" s="19" t="s">
        <v>40</v>
      </c>
      <c r="B3" s="2"/>
      <c r="C3" s="2"/>
      <c r="D3" s="3"/>
      <c r="E3" s="3"/>
      <c r="F3" s="3"/>
      <c r="G3" s="3"/>
      <c r="H3" s="3"/>
      <c r="I3" s="3"/>
      <c r="J3" s="3"/>
      <c r="K3" s="14" t="s">
        <v>42</v>
      </c>
      <c r="L3" s="16"/>
      <c r="M3" s="18"/>
      <c r="N3" s="34"/>
      <c r="AA3" s="35"/>
    </row>
    <row r="4" spans="1:27" ht="26.45" customHeight="1">
      <c r="B4" s="3"/>
      <c r="C4" s="21"/>
      <c r="D4" s="21"/>
      <c r="E4" s="3"/>
      <c r="F4" s="3"/>
      <c r="G4" s="3"/>
      <c r="H4" s="3"/>
      <c r="I4" s="3"/>
      <c r="J4" s="3"/>
      <c r="K4" s="15" t="s">
        <v>39</v>
      </c>
      <c r="L4" s="16"/>
      <c r="M4" s="18"/>
      <c r="N4" s="34"/>
      <c r="AA4" s="35"/>
    </row>
    <row r="5" spans="1:27" ht="26.45" customHeight="1">
      <c r="A5" s="4"/>
      <c r="B5" s="2"/>
      <c r="C5" s="2"/>
      <c r="D5" s="3"/>
      <c r="E5" s="3"/>
      <c r="F5" s="3"/>
      <c r="G5" s="3"/>
      <c r="H5" s="3"/>
      <c r="I5" s="3"/>
      <c r="J5" s="3"/>
      <c r="K5" s="3"/>
      <c r="N5" s="34"/>
      <c r="AA5" s="35"/>
    </row>
    <row r="6" spans="1:27" ht="24.95" customHeight="1">
      <c r="A6" s="22" t="s">
        <v>18</v>
      </c>
      <c r="B6" s="23" t="s">
        <v>19</v>
      </c>
      <c r="C6" s="23" t="s">
        <v>20</v>
      </c>
      <c r="D6" s="24" t="s">
        <v>37</v>
      </c>
      <c r="E6" s="24" t="s">
        <v>38</v>
      </c>
      <c r="F6" s="25" t="s">
        <v>21</v>
      </c>
      <c r="G6" s="25" t="s">
        <v>22</v>
      </c>
      <c r="H6" s="25" t="s">
        <v>23</v>
      </c>
      <c r="I6" s="25" t="s">
        <v>24</v>
      </c>
      <c r="J6" s="25" t="s">
        <v>25</v>
      </c>
      <c r="K6" s="25" t="s">
        <v>26</v>
      </c>
      <c r="L6" s="25" t="s">
        <v>27</v>
      </c>
      <c r="M6" s="22" t="s">
        <v>28</v>
      </c>
      <c r="N6" s="36"/>
      <c r="AA6" s="35"/>
    </row>
    <row r="7" spans="1:27" ht="20.100000000000001" customHeight="1">
      <c r="A7" s="26" t="s">
        <v>0</v>
      </c>
      <c r="B7" s="5"/>
      <c r="C7" s="30"/>
      <c r="D7" s="29"/>
      <c r="E7" s="27"/>
      <c r="F7" s="27">
        <v>0</v>
      </c>
      <c r="G7" s="27">
        <v>0</v>
      </c>
      <c r="H7" s="7"/>
      <c r="I7" s="27">
        <f>Measurement!C4</f>
        <v>36.125</v>
      </c>
      <c r="J7" s="27">
        <f>Measurement!C5</f>
        <v>36.125</v>
      </c>
      <c r="K7" s="27">
        <f>Measurement!C6</f>
        <v>36.125</v>
      </c>
      <c r="L7" s="27">
        <f>Measurement!C7</f>
        <v>0</v>
      </c>
      <c r="M7" s="28">
        <f>Measurement!C8</f>
        <v>0</v>
      </c>
      <c r="N7" s="34"/>
      <c r="AA7" s="35"/>
    </row>
    <row r="8" spans="1:27" ht="20.100000000000001" customHeight="1">
      <c r="A8" s="26" t="s">
        <v>1</v>
      </c>
      <c r="B8" s="5"/>
      <c r="C8" s="31"/>
      <c r="D8" s="29"/>
      <c r="E8" s="29"/>
      <c r="F8" s="27">
        <v>0</v>
      </c>
      <c r="G8" s="27">
        <v>0</v>
      </c>
      <c r="H8" s="7"/>
      <c r="I8" s="27">
        <f>Measurement!D4</f>
        <v>36.125</v>
      </c>
      <c r="J8" s="27">
        <f>Measurement!D5</f>
        <v>36.125</v>
      </c>
      <c r="K8" s="27">
        <f>Measurement!D6</f>
        <v>36.125</v>
      </c>
      <c r="L8" s="27">
        <f>Measurement!D7</f>
        <v>0</v>
      </c>
      <c r="M8" s="28">
        <f>Measurement!D8</f>
        <v>0</v>
      </c>
      <c r="N8" s="34"/>
      <c r="AA8" s="35"/>
    </row>
    <row r="9" spans="1:27" ht="20.100000000000001" customHeight="1">
      <c r="A9" s="26" t="s">
        <v>6</v>
      </c>
      <c r="B9" s="5"/>
      <c r="C9" s="31"/>
      <c r="D9" s="29"/>
      <c r="E9" s="29"/>
      <c r="F9" s="27">
        <v>0</v>
      </c>
      <c r="G9" s="27">
        <v>0</v>
      </c>
      <c r="H9" s="7"/>
      <c r="I9" s="27">
        <f>Measurement!E4</f>
        <v>1.3875</v>
      </c>
      <c r="J9" s="27">
        <f>Measurement!E5</f>
        <v>1.401</v>
      </c>
      <c r="K9" s="27">
        <f>Measurement!E6</f>
        <v>1.4490000000000001</v>
      </c>
      <c r="L9" s="27">
        <f>Measurement!E7</f>
        <v>0</v>
      </c>
      <c r="M9" s="28">
        <f>Measurement!E8</f>
        <v>0</v>
      </c>
      <c r="N9" s="34"/>
      <c r="AA9" s="35"/>
    </row>
    <row r="10" spans="1:27" ht="20.100000000000001" customHeight="1">
      <c r="A10" s="26" t="s">
        <v>8</v>
      </c>
      <c r="B10" s="5"/>
      <c r="C10" s="31"/>
      <c r="D10" s="29"/>
      <c r="E10" s="29"/>
      <c r="F10" s="27">
        <v>0</v>
      </c>
      <c r="G10" s="27">
        <v>0</v>
      </c>
      <c r="H10" s="7"/>
      <c r="I10" s="27">
        <f>Measurement!F4</f>
        <v>1.5015000000000001</v>
      </c>
      <c r="J10" s="27">
        <f>Measurement!F5</f>
        <v>1.5044999999999999</v>
      </c>
      <c r="K10" s="27">
        <f>Measurement!F6</f>
        <v>1.5055000000000001</v>
      </c>
      <c r="L10" s="27">
        <f>Measurement!F7</f>
        <v>0</v>
      </c>
      <c r="M10" s="28">
        <f>Measurement!F8</f>
        <v>0</v>
      </c>
      <c r="N10" s="34"/>
      <c r="AA10" s="35"/>
    </row>
    <row r="11" spans="1:27" ht="20.100000000000001" customHeight="1">
      <c r="A11" s="26" t="s">
        <v>9</v>
      </c>
      <c r="B11" s="5"/>
      <c r="C11" s="28"/>
      <c r="D11" s="28"/>
      <c r="E11" s="28"/>
      <c r="F11" s="27">
        <v>0</v>
      </c>
      <c r="G11" s="27">
        <v>0</v>
      </c>
      <c r="H11" s="7"/>
      <c r="I11" s="27">
        <f>Measurement!G4</f>
        <v>1.5075000000000001</v>
      </c>
      <c r="J11" s="27">
        <f>Measurement!G5</f>
        <v>1.5085</v>
      </c>
      <c r="K11" s="27">
        <f>Measurement!G6</f>
        <v>1.5149999999999999</v>
      </c>
      <c r="L11" s="27">
        <f>Measurement!G7</f>
        <v>0</v>
      </c>
      <c r="M11" s="28">
        <f>Measurement!G8</f>
        <v>0</v>
      </c>
      <c r="N11" s="34"/>
      <c r="AA11" s="35"/>
    </row>
    <row r="12" spans="1:27" ht="20.100000000000001" customHeight="1">
      <c r="A12" s="26" t="s">
        <v>10</v>
      </c>
      <c r="B12" s="5"/>
      <c r="C12" s="30"/>
      <c r="D12" s="29"/>
      <c r="E12" s="27"/>
      <c r="F12" s="27">
        <v>0</v>
      </c>
      <c r="G12" s="27">
        <v>0</v>
      </c>
      <c r="H12" s="7"/>
      <c r="I12" s="27">
        <f>Measurement!H4</f>
        <v>0.26300000000000001</v>
      </c>
      <c r="J12" s="27">
        <f>Measurement!H5</f>
        <v>0.27200000000000002</v>
      </c>
      <c r="K12" s="27">
        <f>Measurement!H6</f>
        <v>0.27450000000000002</v>
      </c>
      <c r="L12" s="27">
        <f>Measurement!H7</f>
        <v>0</v>
      </c>
      <c r="M12" s="28">
        <f>Measurement!H8</f>
        <v>0</v>
      </c>
      <c r="N12" s="34"/>
      <c r="AA12" s="35"/>
    </row>
    <row r="13" spans="1:27" ht="20.100000000000001" customHeight="1">
      <c r="A13" s="26" t="s">
        <v>11</v>
      </c>
      <c r="B13" s="5"/>
      <c r="C13" s="31"/>
      <c r="D13" s="29"/>
      <c r="E13" s="29"/>
      <c r="F13" s="27">
        <v>0</v>
      </c>
      <c r="G13" s="27">
        <v>0</v>
      </c>
      <c r="H13" s="7"/>
      <c r="I13" s="27">
        <f>Measurement!I4</f>
        <v>0</v>
      </c>
      <c r="J13" s="27">
        <f>Measurement!I5</f>
        <v>0</v>
      </c>
      <c r="K13" s="27">
        <f>Measurement!I6</f>
        <v>0</v>
      </c>
      <c r="L13" s="27">
        <f>Measurement!I7</f>
        <v>0</v>
      </c>
      <c r="M13" s="28">
        <f>Measurement!I8</f>
        <v>0</v>
      </c>
      <c r="N13" s="34"/>
      <c r="AA13" s="35"/>
    </row>
    <row r="14" spans="1:27" ht="20.100000000000001" customHeight="1">
      <c r="A14" s="26" t="s">
        <v>12</v>
      </c>
      <c r="B14" s="5"/>
      <c r="C14" s="31"/>
      <c r="D14" s="29"/>
      <c r="E14" s="29"/>
      <c r="F14" s="27">
        <v>0</v>
      </c>
      <c r="G14" s="27">
        <v>0</v>
      </c>
      <c r="H14" s="7"/>
      <c r="I14" s="27">
        <f>Measurement!J4</f>
        <v>0</v>
      </c>
      <c r="J14" s="27">
        <f>Measurement!J5</f>
        <v>0</v>
      </c>
      <c r="K14" s="27">
        <f>Measurement!J6</f>
        <v>0</v>
      </c>
      <c r="L14" s="27">
        <f>Measurement!J7</f>
        <v>0</v>
      </c>
      <c r="M14" s="28">
        <f>Measurement!J8</f>
        <v>0</v>
      </c>
      <c r="N14" s="34" t="s">
        <v>5</v>
      </c>
      <c r="AA14" s="35"/>
    </row>
    <row r="15" spans="1:27" ht="20.100000000000001" customHeight="1">
      <c r="A15" s="26" t="s">
        <v>13</v>
      </c>
      <c r="B15" s="5"/>
      <c r="C15" s="31"/>
      <c r="D15" s="29"/>
      <c r="E15" s="29"/>
      <c r="F15" s="27">
        <v>0</v>
      </c>
      <c r="G15" s="27">
        <v>0</v>
      </c>
      <c r="H15" s="7"/>
      <c r="I15" s="27">
        <f>Measurement!K4</f>
        <v>0</v>
      </c>
      <c r="J15" s="27">
        <f>Measurement!K5</f>
        <v>0</v>
      </c>
      <c r="K15" s="27">
        <f>Measurement!K6</f>
        <v>0</v>
      </c>
      <c r="L15" s="27">
        <f>Measurement!K7</f>
        <v>0</v>
      </c>
      <c r="M15" s="28">
        <f>Measurement!K8</f>
        <v>0</v>
      </c>
      <c r="N15" s="34"/>
      <c r="AA15" s="35"/>
    </row>
    <row r="16" spans="1:27" ht="20.100000000000001" customHeight="1">
      <c r="A16" s="26" t="s">
        <v>14</v>
      </c>
      <c r="B16" s="5"/>
      <c r="C16" s="28"/>
      <c r="D16" s="28"/>
      <c r="E16" s="28"/>
      <c r="F16" s="27">
        <v>0</v>
      </c>
      <c r="G16" s="27">
        <v>0</v>
      </c>
      <c r="H16" s="7"/>
      <c r="I16" s="27">
        <f>Measurement!L4</f>
        <v>0</v>
      </c>
      <c r="J16" s="27">
        <f>Measurement!L5</f>
        <v>0</v>
      </c>
      <c r="K16" s="27">
        <f>Measurement!L6</f>
        <v>0</v>
      </c>
      <c r="L16" s="27">
        <f>Measurement!L7</f>
        <v>0</v>
      </c>
      <c r="M16" s="28">
        <f>Measurement!L8</f>
        <v>0</v>
      </c>
      <c r="N16" s="34"/>
      <c r="AA16" s="35"/>
    </row>
    <row r="17" spans="1:27" ht="20.100000000000001" customHeight="1">
      <c r="A17" s="26" t="s">
        <v>15</v>
      </c>
      <c r="B17" s="5"/>
      <c r="C17" s="30"/>
      <c r="D17" s="29"/>
      <c r="E17" s="27"/>
      <c r="F17" s="27">
        <v>0</v>
      </c>
      <c r="G17" s="27">
        <v>0</v>
      </c>
      <c r="H17" s="7"/>
      <c r="I17" s="27">
        <f>Measurement!M4</f>
        <v>0</v>
      </c>
      <c r="J17" s="27">
        <f>Measurement!M5</f>
        <v>0</v>
      </c>
      <c r="K17" s="27">
        <f>Measurement!M6</f>
        <v>0</v>
      </c>
      <c r="L17" s="27">
        <f>Measurement!M7</f>
        <v>0</v>
      </c>
      <c r="M17" s="28">
        <f>Measurement!M8</f>
        <v>0</v>
      </c>
      <c r="N17" s="34"/>
      <c r="AA17" s="35"/>
    </row>
    <row r="18" spans="1:27" ht="20.100000000000001" customHeight="1">
      <c r="A18" s="26" t="s">
        <v>16</v>
      </c>
      <c r="B18" s="5"/>
      <c r="C18" s="31"/>
      <c r="D18" s="29"/>
      <c r="E18" s="29"/>
      <c r="F18" s="27">
        <v>0</v>
      </c>
      <c r="G18" s="27">
        <v>0</v>
      </c>
      <c r="H18" s="7"/>
      <c r="I18" s="27">
        <f>Measurement!N4</f>
        <v>0</v>
      </c>
      <c r="J18" s="27">
        <f>Measurement!N5</f>
        <v>0</v>
      </c>
      <c r="K18" s="27">
        <f>Measurement!N6</f>
        <v>0</v>
      </c>
      <c r="L18" s="27">
        <f>Measurement!N7</f>
        <v>0</v>
      </c>
      <c r="M18" s="28">
        <f>Measurement!N8</f>
        <v>0</v>
      </c>
      <c r="N18" s="34"/>
      <c r="AA18" s="35"/>
    </row>
    <row r="19" spans="1:27" ht="20.100000000000001" customHeight="1">
      <c r="A19" s="26" t="s">
        <v>17</v>
      </c>
      <c r="B19" s="5"/>
      <c r="C19" s="31"/>
      <c r="D19" s="29"/>
      <c r="E19" s="29"/>
      <c r="F19" s="27">
        <v>0</v>
      </c>
      <c r="G19" s="27">
        <v>0</v>
      </c>
      <c r="H19" s="7"/>
      <c r="I19" s="27">
        <f>Measurement!O4</f>
        <v>0</v>
      </c>
      <c r="J19" s="27">
        <f>Measurement!O5</f>
        <v>0</v>
      </c>
      <c r="K19" s="27">
        <f>Measurement!O6</f>
        <v>0</v>
      </c>
      <c r="L19" s="27">
        <f>Measurement!O7</f>
        <v>0</v>
      </c>
      <c r="M19" s="28">
        <f>Measurement!O8</f>
        <v>0</v>
      </c>
      <c r="N19" s="34"/>
      <c r="AA19" s="35"/>
    </row>
    <row r="20" spans="1:27" ht="20.100000000000001" customHeight="1">
      <c r="A20" s="26" t="s">
        <v>47</v>
      </c>
      <c r="B20" s="5"/>
      <c r="C20" s="31"/>
      <c r="D20" s="29"/>
      <c r="E20" s="29"/>
      <c r="F20" s="27">
        <v>0</v>
      </c>
      <c r="G20" s="27">
        <v>0</v>
      </c>
      <c r="H20" s="7"/>
      <c r="I20" s="27">
        <f>Measurement!P4</f>
        <v>0</v>
      </c>
      <c r="J20" s="27">
        <f>Measurement!P5</f>
        <v>0</v>
      </c>
      <c r="K20" s="27">
        <f>Measurement!P6</f>
        <v>0</v>
      </c>
      <c r="L20" s="27">
        <f>Measurement!P7</f>
        <v>0</v>
      </c>
      <c r="M20" s="28">
        <f>Measurement!P8</f>
        <v>0</v>
      </c>
      <c r="N20" s="34"/>
      <c r="AA20" s="35"/>
    </row>
    <row r="21" spans="1:27" ht="20.100000000000001" customHeight="1">
      <c r="A21" s="26" t="s">
        <v>48</v>
      </c>
      <c r="B21" s="5"/>
      <c r="C21" s="28"/>
      <c r="D21" s="28"/>
      <c r="E21" s="28"/>
      <c r="F21" s="27"/>
      <c r="G21" s="27"/>
      <c r="H21" s="7"/>
      <c r="I21" s="27"/>
      <c r="J21" s="27"/>
      <c r="K21" s="27"/>
      <c r="L21" s="27"/>
      <c r="M21" s="28"/>
      <c r="N21" s="34"/>
      <c r="Q21" s="1" t="s">
        <v>4</v>
      </c>
      <c r="AA21" s="35"/>
    </row>
    <row r="22" spans="1:27" ht="20.100000000000001" customHeight="1">
      <c r="A22" s="26" t="s">
        <v>49</v>
      </c>
      <c r="B22" s="5"/>
      <c r="C22" s="30"/>
      <c r="D22" s="28"/>
      <c r="E22" s="27"/>
      <c r="F22" s="27"/>
      <c r="G22" s="27"/>
      <c r="H22" s="7"/>
      <c r="I22" s="27"/>
      <c r="J22" s="27"/>
      <c r="K22" s="27"/>
      <c r="L22" s="27"/>
      <c r="M22" s="28"/>
      <c r="N22" s="37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9"/>
    </row>
    <row r="23" spans="1:27" ht="20.100000000000001" customHeight="1">
      <c r="A23" s="9"/>
      <c r="B23" s="8"/>
      <c r="C23" s="8"/>
      <c r="D23" s="9"/>
      <c r="E23" s="9"/>
      <c r="F23" s="9"/>
      <c r="G23" s="9"/>
      <c r="H23" s="9"/>
      <c r="I23" s="9"/>
      <c r="J23" s="9"/>
      <c r="K23" s="9"/>
      <c r="L23" s="9"/>
      <c r="M23" s="9"/>
    </row>
    <row r="24" spans="1:27" ht="20.100000000000001" customHeight="1">
      <c r="A24" s="9"/>
      <c r="B24" s="8"/>
      <c r="C24" s="8"/>
      <c r="D24" s="9"/>
      <c r="E24" s="9"/>
      <c r="F24" s="9"/>
      <c r="G24" s="9"/>
      <c r="H24" s="9"/>
      <c r="I24" s="9"/>
      <c r="J24" s="9"/>
      <c r="K24" s="9"/>
      <c r="L24" s="9"/>
      <c r="M24" s="9"/>
    </row>
    <row r="25" spans="1:27" ht="20.100000000000001" customHeight="1">
      <c r="A25" s="11"/>
      <c r="B25" s="12"/>
      <c r="C25" s="8"/>
      <c r="D25" s="9"/>
      <c r="E25" s="9"/>
      <c r="F25" s="9"/>
      <c r="G25" s="9"/>
      <c r="H25" s="9"/>
      <c r="I25" s="9"/>
      <c r="J25" s="9"/>
      <c r="K25" s="9"/>
      <c r="L25" s="9"/>
      <c r="M25" s="9"/>
    </row>
    <row r="26" spans="1:27" ht="20.100000000000001" customHeight="1">
      <c r="A26" s="9"/>
      <c r="B26" s="8"/>
      <c r="C26" s="8"/>
      <c r="D26" s="9"/>
      <c r="E26" s="9"/>
      <c r="F26" s="9"/>
      <c r="G26" s="9"/>
      <c r="H26" s="9"/>
      <c r="I26" s="9"/>
      <c r="J26" s="9"/>
      <c r="K26" s="9"/>
      <c r="L26" s="9"/>
      <c r="M26" s="9"/>
    </row>
    <row r="27" spans="1:27">
      <c r="A27" s="9"/>
      <c r="B27" s="8"/>
      <c r="C27" s="8"/>
      <c r="D27" s="9"/>
      <c r="E27" s="9"/>
      <c r="F27" s="9"/>
      <c r="G27" s="9"/>
      <c r="H27" s="9"/>
      <c r="I27" s="9"/>
      <c r="J27" s="9"/>
      <c r="K27" s="9"/>
      <c r="L27" s="9"/>
      <c r="M27" s="9"/>
    </row>
    <row r="28" spans="1:27">
      <c r="A28" s="9"/>
      <c r="B28" s="8"/>
      <c r="C28" s="8"/>
      <c r="D28" s="9"/>
      <c r="E28" s="9"/>
      <c r="F28" s="9"/>
      <c r="G28" s="9"/>
      <c r="H28" s="9"/>
      <c r="I28" s="9"/>
      <c r="J28" s="9"/>
      <c r="K28" s="9"/>
      <c r="L28" s="9"/>
      <c r="M28" s="9"/>
    </row>
    <row r="29" spans="1:27">
      <c r="A29" s="9"/>
      <c r="B29" s="8"/>
      <c r="C29" s="8"/>
      <c r="D29" s="9"/>
      <c r="E29" s="9"/>
      <c r="F29" s="9"/>
      <c r="G29" s="9"/>
      <c r="H29" s="9"/>
      <c r="I29" s="9"/>
      <c r="J29" s="9"/>
      <c r="K29" s="9"/>
      <c r="L29" s="9"/>
      <c r="M29" s="9"/>
    </row>
    <row r="30" spans="1:27">
      <c r="A30" s="9"/>
      <c r="B30" s="8"/>
      <c r="C30" s="8"/>
      <c r="D30" s="9"/>
      <c r="E30" s="9"/>
      <c r="F30" s="9"/>
      <c r="G30" s="9"/>
      <c r="H30" s="9"/>
      <c r="I30" s="9"/>
      <c r="J30" s="9"/>
      <c r="K30" s="9"/>
      <c r="L30" s="9"/>
      <c r="M30" s="9"/>
    </row>
    <row r="31" spans="1:27">
      <c r="A31" s="9"/>
      <c r="B31" s="8"/>
      <c r="C31" s="8"/>
      <c r="D31" s="9"/>
      <c r="E31" s="9"/>
      <c r="F31" s="9"/>
      <c r="G31" s="9"/>
      <c r="H31" s="9"/>
      <c r="I31" s="9"/>
      <c r="J31" s="9"/>
      <c r="K31" s="9"/>
      <c r="L31" s="9"/>
      <c r="M31" s="9"/>
    </row>
    <row r="32" spans="1:27">
      <c r="A32" s="9"/>
      <c r="B32" s="8"/>
      <c r="C32" s="8"/>
      <c r="D32" s="9"/>
      <c r="E32" s="9"/>
      <c r="F32" s="9"/>
      <c r="G32" s="9"/>
      <c r="H32" s="9"/>
      <c r="I32" s="9"/>
      <c r="J32" s="9"/>
      <c r="K32" s="9"/>
      <c r="L32" s="9"/>
      <c r="M32" s="9"/>
    </row>
    <row r="33" spans="1:13">
      <c r="A33" s="9"/>
      <c r="B33" s="8"/>
      <c r="C33" s="8"/>
      <c r="D33" s="9"/>
      <c r="E33" s="9"/>
      <c r="F33" s="9"/>
      <c r="G33" s="9"/>
      <c r="H33" s="9"/>
      <c r="I33" s="9"/>
      <c r="J33" s="9"/>
      <c r="K33" s="9"/>
      <c r="L33" s="9"/>
      <c r="M33" s="9"/>
    </row>
    <row r="34" spans="1:13">
      <c r="A34" s="9"/>
      <c r="B34" s="8"/>
      <c r="C34" s="8"/>
      <c r="D34" s="9"/>
      <c r="E34" s="9"/>
      <c r="F34" s="9"/>
      <c r="G34" s="9"/>
      <c r="H34" s="9"/>
      <c r="I34" s="9"/>
      <c r="J34" s="9"/>
      <c r="K34" s="9"/>
      <c r="L34" s="9"/>
      <c r="M34" s="9"/>
    </row>
    <row r="35" spans="1:13">
      <c r="A35" s="9"/>
      <c r="B35" s="8"/>
      <c r="C35" s="8"/>
      <c r="D35" s="9"/>
      <c r="E35" s="9"/>
      <c r="F35" s="9"/>
      <c r="G35" s="9"/>
      <c r="H35" s="9"/>
      <c r="I35" s="9"/>
      <c r="J35" s="9"/>
      <c r="K35" s="9"/>
      <c r="L35" s="9"/>
      <c r="M35" s="9"/>
    </row>
    <row r="36" spans="1:13">
      <c r="A36" s="9"/>
      <c r="B36" s="8"/>
      <c r="C36" s="8"/>
      <c r="D36" s="9"/>
      <c r="E36" s="9"/>
      <c r="F36" s="9"/>
      <c r="G36" s="9"/>
      <c r="H36" s="9"/>
      <c r="I36" s="9"/>
      <c r="J36" s="9"/>
      <c r="K36" s="9"/>
      <c r="L36" s="9"/>
      <c r="M36" s="9"/>
    </row>
    <row r="37" spans="1:13">
      <c r="A37" s="9"/>
      <c r="B37" s="8"/>
      <c r="C37" s="8"/>
      <c r="D37" s="9"/>
      <c r="E37" s="9"/>
      <c r="F37" s="9"/>
      <c r="G37" s="9"/>
      <c r="H37" s="9"/>
      <c r="I37" s="9"/>
      <c r="J37" s="9"/>
      <c r="K37" s="9"/>
      <c r="L37" s="9"/>
      <c r="M37" s="9"/>
    </row>
    <row r="38" spans="1:13">
      <c r="A38" s="9"/>
      <c r="B38" s="8"/>
      <c r="C38" s="8"/>
      <c r="D38" s="9"/>
      <c r="E38" s="9"/>
      <c r="F38" s="9"/>
      <c r="G38" s="9"/>
      <c r="H38" s="9"/>
      <c r="I38" s="9"/>
      <c r="J38" s="9"/>
      <c r="K38" s="9"/>
      <c r="L38" s="9"/>
      <c r="M38" s="9"/>
    </row>
    <row r="39" spans="1:13">
      <c r="A39" s="9"/>
      <c r="B39" s="8"/>
      <c r="C39" s="8"/>
      <c r="D39" s="9"/>
      <c r="E39" s="9"/>
      <c r="F39" s="9"/>
      <c r="G39" s="9"/>
      <c r="H39" s="9"/>
      <c r="I39" s="9"/>
      <c r="J39" s="9"/>
      <c r="K39" s="9"/>
      <c r="L39" s="9"/>
      <c r="M39" s="9"/>
    </row>
  </sheetData>
  <mergeCells count="1">
    <mergeCell ref="A1:M1"/>
  </mergeCells>
  <phoneticPr fontId="7" type="noConversion"/>
  <conditionalFormatting sqref="I7:M22">
    <cfRule type="expression" dxfId="0" priority="1">
      <formula>OR(I7&lt;$G7, I7&gt;$F7)</formula>
    </cfRule>
  </conditionalFormatting>
  <printOptions horizontalCentered="1"/>
  <pageMargins left="0.7" right="0.7" top="0.75" bottom="0.75" header="0.3" footer="0.3"/>
  <pageSetup paperSize="9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F06296C-3995-469C-B5F9-EAB060CCC964}">
          <x14:formula1>
            <xm:f>Source!$B$2:$B$100</xm:f>
          </x14:formula1>
          <xm:sqref>B7:B22</xm:sqref>
        </x14:dataValidation>
        <x14:dataValidation type="list" allowBlank="1" showInputMessage="1" showErrorMessage="1" xr:uid="{4C67EF38-5D4F-4607-8FE6-56E9A0A76BE2}">
          <x14:formula1>
            <xm:f>Source!$C$2:$C$100</xm:f>
          </x14:formula1>
          <xm:sqref>H7:H22</xm:sqref>
        </x14:dataValidation>
        <x14:dataValidation type="list" allowBlank="1" showInputMessage="1" showErrorMessage="1" xr:uid="{2894C79E-0A44-4C82-95A4-6957BC327C17}">
          <x14:formula1>
            <xm:f>Source!$D$2:$D$100</xm:f>
          </x14:formula1>
          <xm:sqref>J2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F7B0A-CFC1-4849-8BF0-BC204AB729E1}">
  <dimension ref="B1:D5"/>
  <sheetViews>
    <sheetView workbookViewId="0">
      <selection activeCell="F23" sqref="F23"/>
    </sheetView>
  </sheetViews>
  <sheetFormatPr defaultRowHeight="15"/>
  <cols>
    <col min="2" max="4" width="15.7109375" style="40" customWidth="1"/>
  </cols>
  <sheetData>
    <row r="1" spans="2:4" ht="30" customHeight="1">
      <c r="B1" s="41" t="s">
        <v>29</v>
      </c>
      <c r="C1" s="41" t="s">
        <v>34</v>
      </c>
      <c r="D1" s="41" t="s">
        <v>44</v>
      </c>
    </row>
    <row r="2" spans="2:4">
      <c r="B2" s="40" t="s">
        <v>30</v>
      </c>
      <c r="C2" s="40" t="s">
        <v>35</v>
      </c>
      <c r="D2" s="40" t="s">
        <v>45</v>
      </c>
    </row>
    <row r="3" spans="2:4">
      <c r="B3" s="40" t="s">
        <v>31</v>
      </c>
      <c r="C3" s="40" t="s">
        <v>36</v>
      </c>
      <c r="D3" s="40" t="s">
        <v>46</v>
      </c>
    </row>
    <row r="4" spans="2:4">
      <c r="B4" s="40" t="s">
        <v>32</v>
      </c>
    </row>
    <row r="5" spans="2:4">
      <c r="B5" s="40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Measurement</vt:lpstr>
      <vt:lpstr>FAR-v</vt:lpstr>
      <vt:lpstr>FAR</vt:lpstr>
      <vt:lpstr>Source</vt:lpstr>
      <vt:lpstr>FAR!Print_Area</vt:lpstr>
      <vt:lpstr>'FAR-v'!Print_Area</vt:lpstr>
      <vt:lpstr>Measurement!Print_Area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>giridhar Addagudi</cp:lastModifiedBy>
  <cp:lastPrinted>2026-01-05T20:28:19Z</cp:lastPrinted>
  <dcterms:created xsi:type="dcterms:W3CDTF">2020-11-06T07:08:00Z</dcterms:created>
  <dcterms:modified xsi:type="dcterms:W3CDTF">2026-01-05T20:28:25Z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2052-11.1.0.10132</vt:lpwstr>
  </property>
</Properties>
</file>